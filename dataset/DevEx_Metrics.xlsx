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DATA\DEV\UZH\DX-Metrics-Compass\dataset\"/>
    </mc:Choice>
  </mc:AlternateContent>
  <xr:revisionPtr revIDLastSave="0" documentId="13_ncr:1_{6681309D-EE8E-4A8E-B74D-2EC921A8556F}" xr6:coauthVersionLast="47" xr6:coauthVersionMax="47" xr10:uidLastSave="{00000000-0000-0000-0000-000000000000}"/>
  <bookViews>
    <workbookView xWindow="28695" yWindow="0" windowWidth="29010" windowHeight="23385" tabRatio="506" xr2:uid="{00000000-000D-0000-FFFF-FFFF00000000}"/>
  </bookViews>
  <sheets>
    <sheet name="metrics" sheetId="1" r:id="rId1"/>
    <sheet name="urls" sheetId="4" r:id="rId2"/>
    <sheet name="cardsort_group_IDs" sheetId="2" r:id="rId3"/>
    <sheet name="cardsort_subgroup_IDs" sheetId="3" r:id="rId4"/>
    <sheet name="company_sizes" sheetId="5" r:id="rId5"/>
  </sheets>
  <definedNames>
    <definedName name="_xlnm._FilterDatabase" localSheetId="0" hidden="1">metrics!$A$1:$M$123</definedName>
    <definedName name="_xlnm._FilterDatabase" localSheetId="1" hidden="1">urls!$A$1:$D$113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4" i="1" l="1"/>
  <c r="I124" i="1"/>
  <c r="L124" i="1"/>
  <c r="N124" i="1"/>
  <c r="O124" i="1" s="1"/>
  <c r="M124" i="1"/>
  <c r="N123" i="1"/>
  <c r="L123" i="1"/>
  <c r="M123" i="1"/>
  <c r="K123" i="1"/>
  <c r="I123" i="1"/>
  <c r="L96" i="1"/>
  <c r="M96" i="1"/>
  <c r="N96" i="1"/>
  <c r="O96" i="1" s="1"/>
  <c r="K95" i="1"/>
  <c r="K96" i="1"/>
  <c r="I95" i="1"/>
  <c r="I96" i="1"/>
  <c r="L95" i="1"/>
  <c r="N95" i="1"/>
  <c r="M95" i="1"/>
  <c r="K80" i="1"/>
  <c r="I80" i="1"/>
  <c r="L80" i="1"/>
  <c r="M80" i="1"/>
  <c r="N80" i="1"/>
  <c r="O123" i="1" l="1"/>
  <c r="O80" i="1"/>
  <c r="O95" i="1"/>
  <c r="I122" i="1"/>
  <c r="K122" i="1"/>
  <c r="L122" i="1"/>
  <c r="M122" i="1"/>
  <c r="N122" i="1"/>
  <c r="K121" i="1"/>
  <c r="L121" i="1"/>
  <c r="M121" i="1"/>
  <c r="N121" i="1"/>
  <c r="I121" i="1"/>
  <c r="K120" i="1"/>
  <c r="L120" i="1"/>
  <c r="M120" i="1"/>
  <c r="N120" i="1"/>
  <c r="I120" i="1"/>
  <c r="O122" i="1" l="1"/>
  <c r="O121" i="1"/>
  <c r="O120" i="1"/>
  <c r="N119" i="1"/>
  <c r="K119" i="1"/>
  <c r="L119" i="1"/>
  <c r="I119" i="1"/>
  <c r="M119" i="1"/>
  <c r="L118" i="1"/>
  <c r="M118" i="1"/>
  <c r="N118" i="1"/>
  <c r="K118" i="1"/>
  <c r="I118" i="1"/>
  <c r="K117" i="1"/>
  <c r="I117" i="1"/>
  <c r="I116" i="1"/>
  <c r="L117" i="1"/>
  <c r="N117" i="1"/>
  <c r="M117" i="1"/>
  <c r="K116" i="1"/>
  <c r="L116" i="1"/>
  <c r="N116" i="1"/>
  <c r="M116" i="1"/>
  <c r="I114" i="1"/>
  <c r="I115" i="1"/>
  <c r="K114" i="1"/>
  <c r="K115" i="1"/>
  <c r="L115" i="1"/>
  <c r="M115" i="1"/>
  <c r="N115" i="1"/>
  <c r="L114" i="1"/>
  <c r="M114" i="1"/>
  <c r="N114" i="1"/>
  <c r="I113" i="1"/>
  <c r="K113" i="1"/>
  <c r="L113" i="1"/>
  <c r="M113" i="1"/>
  <c r="N113" i="1"/>
  <c r="I112" i="1"/>
  <c r="K112" i="1"/>
  <c r="L112" i="1"/>
  <c r="M112" i="1"/>
  <c r="N112" i="1"/>
  <c r="K111" i="1"/>
  <c r="L111" i="1"/>
  <c r="M111" i="1"/>
  <c r="N111" i="1"/>
  <c r="I111" i="1"/>
  <c r="K110" i="1"/>
  <c r="L110" i="1"/>
  <c r="M110" i="1"/>
  <c r="N110" i="1"/>
  <c r="I110" i="1"/>
  <c r="K109" i="1"/>
  <c r="L109" i="1"/>
  <c r="M109" i="1"/>
  <c r="I109" i="1"/>
  <c r="N109" i="1"/>
  <c r="N108" i="1"/>
  <c r="K108" i="1"/>
  <c r="L108" i="1"/>
  <c r="M108" i="1"/>
  <c r="I108" i="1"/>
  <c r="L107" i="1"/>
  <c r="M107" i="1"/>
  <c r="N107" i="1"/>
  <c r="I107" i="1"/>
  <c r="K106" i="1"/>
  <c r="L106" i="1"/>
  <c r="M106" i="1"/>
  <c r="N106" i="1"/>
  <c r="K107" i="1"/>
  <c r="I106" i="1"/>
  <c r="I105" i="1"/>
  <c r="K105" i="1"/>
  <c r="L105" i="1"/>
  <c r="M105" i="1"/>
  <c r="N105" i="1"/>
  <c r="K104" i="1"/>
  <c r="L104" i="1"/>
  <c r="M104" i="1"/>
  <c r="N104" i="1"/>
  <c r="I104" i="1"/>
  <c r="L103" i="1"/>
  <c r="M103" i="1"/>
  <c r="N103" i="1"/>
  <c r="K103" i="1"/>
  <c r="I103" i="1"/>
  <c r="M102" i="1"/>
  <c r="N102" i="1"/>
  <c r="L102" i="1"/>
  <c r="K102" i="1"/>
  <c r="I102" i="1"/>
  <c r="K101" i="1"/>
  <c r="I101" i="1"/>
  <c r="N101" i="1"/>
  <c r="M101" i="1"/>
  <c r="L101" i="1"/>
  <c r="M2" i="1"/>
  <c r="L3" i="1"/>
  <c r="I2" i="1"/>
  <c r="M100" i="1"/>
  <c r="L100" i="1"/>
  <c r="N100" i="1"/>
  <c r="K100" i="1"/>
  <c r="I100"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1" i="1"/>
  <c r="L82" i="1"/>
  <c r="L83" i="1"/>
  <c r="L84" i="1"/>
  <c r="L85" i="1"/>
  <c r="L86" i="1"/>
  <c r="L87" i="1"/>
  <c r="L88" i="1"/>
  <c r="L89" i="1"/>
  <c r="L90" i="1"/>
  <c r="L91" i="1"/>
  <c r="L92" i="1"/>
  <c r="L93" i="1"/>
  <c r="L94" i="1"/>
  <c r="L97" i="1"/>
  <c r="L98" i="1"/>
  <c r="L99" i="1"/>
  <c r="M3" i="1"/>
  <c r="N3" i="1"/>
  <c r="M4" i="1"/>
  <c r="N4" i="1"/>
  <c r="M5" i="1"/>
  <c r="N5" i="1"/>
  <c r="M6" i="1"/>
  <c r="N6" i="1"/>
  <c r="M7" i="1"/>
  <c r="N7" i="1"/>
  <c r="M8" i="1"/>
  <c r="N8" i="1"/>
  <c r="M9" i="1"/>
  <c r="N9" i="1"/>
  <c r="M10" i="1"/>
  <c r="N10" i="1"/>
  <c r="M11" i="1"/>
  <c r="N11" i="1"/>
  <c r="M12" i="1"/>
  <c r="N12" i="1"/>
  <c r="M13" i="1"/>
  <c r="N13" i="1"/>
  <c r="M14" i="1"/>
  <c r="N14" i="1"/>
  <c r="M15" i="1"/>
  <c r="N15" i="1"/>
  <c r="M16" i="1"/>
  <c r="N16" i="1"/>
  <c r="M17" i="1"/>
  <c r="N17" i="1"/>
  <c r="M18" i="1"/>
  <c r="N18" i="1"/>
  <c r="M19" i="1"/>
  <c r="N19" i="1"/>
  <c r="M20" i="1"/>
  <c r="N20" i="1"/>
  <c r="M21" i="1"/>
  <c r="N21" i="1"/>
  <c r="M22" i="1"/>
  <c r="N22" i="1"/>
  <c r="M23" i="1"/>
  <c r="N23" i="1"/>
  <c r="M24" i="1"/>
  <c r="N24" i="1"/>
  <c r="M25" i="1"/>
  <c r="N25" i="1"/>
  <c r="M26" i="1"/>
  <c r="N26" i="1"/>
  <c r="M27" i="1"/>
  <c r="N27" i="1"/>
  <c r="M28" i="1"/>
  <c r="N28" i="1"/>
  <c r="M29" i="1"/>
  <c r="N29" i="1"/>
  <c r="M30" i="1"/>
  <c r="N30" i="1"/>
  <c r="M31" i="1"/>
  <c r="N31" i="1"/>
  <c r="M32" i="1"/>
  <c r="N32" i="1"/>
  <c r="M33" i="1"/>
  <c r="N33" i="1"/>
  <c r="M34" i="1"/>
  <c r="N34" i="1"/>
  <c r="M35" i="1"/>
  <c r="N35" i="1"/>
  <c r="M36" i="1"/>
  <c r="N36" i="1"/>
  <c r="M37" i="1"/>
  <c r="N37" i="1"/>
  <c r="M38" i="1"/>
  <c r="N38" i="1"/>
  <c r="M39" i="1"/>
  <c r="N39" i="1"/>
  <c r="M40" i="1"/>
  <c r="N40" i="1"/>
  <c r="M41" i="1"/>
  <c r="N41" i="1"/>
  <c r="M42" i="1"/>
  <c r="N42" i="1"/>
  <c r="M43" i="1"/>
  <c r="N43" i="1"/>
  <c r="M44" i="1"/>
  <c r="N44" i="1"/>
  <c r="M45" i="1"/>
  <c r="N45" i="1"/>
  <c r="M46" i="1"/>
  <c r="N46" i="1"/>
  <c r="M47" i="1"/>
  <c r="N47" i="1"/>
  <c r="M48" i="1"/>
  <c r="N48" i="1"/>
  <c r="M49" i="1"/>
  <c r="N49" i="1"/>
  <c r="M50" i="1"/>
  <c r="N50" i="1"/>
  <c r="M51" i="1"/>
  <c r="N51" i="1"/>
  <c r="M52" i="1"/>
  <c r="N52" i="1"/>
  <c r="M53" i="1"/>
  <c r="N53" i="1"/>
  <c r="M54" i="1"/>
  <c r="N54" i="1"/>
  <c r="M55" i="1"/>
  <c r="N55" i="1"/>
  <c r="M56" i="1"/>
  <c r="N56" i="1"/>
  <c r="M57" i="1"/>
  <c r="N57" i="1"/>
  <c r="M58" i="1"/>
  <c r="N58" i="1"/>
  <c r="M59" i="1"/>
  <c r="N59" i="1"/>
  <c r="M60" i="1"/>
  <c r="N60" i="1"/>
  <c r="M61" i="1"/>
  <c r="N61" i="1"/>
  <c r="M62" i="1"/>
  <c r="N62" i="1"/>
  <c r="M63" i="1"/>
  <c r="N63" i="1"/>
  <c r="M64" i="1"/>
  <c r="N64" i="1"/>
  <c r="M65" i="1"/>
  <c r="N65" i="1"/>
  <c r="M66" i="1"/>
  <c r="N66" i="1"/>
  <c r="M67" i="1"/>
  <c r="N67" i="1"/>
  <c r="M68" i="1"/>
  <c r="N68" i="1"/>
  <c r="M69" i="1"/>
  <c r="N69" i="1"/>
  <c r="M70" i="1"/>
  <c r="N70" i="1"/>
  <c r="M71" i="1"/>
  <c r="N71" i="1"/>
  <c r="M72" i="1"/>
  <c r="N72" i="1"/>
  <c r="M73" i="1"/>
  <c r="N73" i="1"/>
  <c r="M74" i="1"/>
  <c r="N74" i="1"/>
  <c r="M75" i="1"/>
  <c r="N75" i="1"/>
  <c r="M76" i="1"/>
  <c r="N76" i="1"/>
  <c r="M77" i="1"/>
  <c r="N77" i="1"/>
  <c r="M78" i="1"/>
  <c r="N78" i="1"/>
  <c r="M79" i="1"/>
  <c r="N79" i="1"/>
  <c r="M81" i="1"/>
  <c r="N81" i="1"/>
  <c r="M82" i="1"/>
  <c r="N82" i="1"/>
  <c r="M83" i="1"/>
  <c r="N83" i="1"/>
  <c r="M84" i="1"/>
  <c r="N84" i="1"/>
  <c r="M85" i="1"/>
  <c r="N85" i="1"/>
  <c r="M86" i="1"/>
  <c r="N86" i="1"/>
  <c r="M87" i="1"/>
  <c r="N87" i="1"/>
  <c r="M88" i="1"/>
  <c r="N88" i="1"/>
  <c r="M89" i="1"/>
  <c r="N89" i="1"/>
  <c r="M90" i="1"/>
  <c r="N90" i="1"/>
  <c r="M91" i="1"/>
  <c r="N91" i="1"/>
  <c r="M92" i="1"/>
  <c r="N92" i="1"/>
  <c r="M93" i="1"/>
  <c r="N93" i="1"/>
  <c r="M94" i="1"/>
  <c r="N94" i="1"/>
  <c r="M97" i="1"/>
  <c r="N97" i="1"/>
  <c r="M98" i="1"/>
  <c r="N98" i="1"/>
  <c r="M99" i="1"/>
  <c r="N99" i="1"/>
  <c r="N2" i="1"/>
  <c r="L2" i="1"/>
  <c r="O119" i="1" l="1"/>
  <c r="O118" i="1"/>
  <c r="O117" i="1"/>
  <c r="O116" i="1"/>
  <c r="O108" i="1"/>
  <c r="O106" i="1"/>
  <c r="O111" i="1"/>
  <c r="O113" i="1"/>
  <c r="O112" i="1"/>
  <c r="O115" i="1"/>
  <c r="O114" i="1"/>
  <c r="O107" i="1"/>
  <c r="O110" i="1"/>
  <c r="O109" i="1"/>
  <c r="O103" i="1"/>
  <c r="O105" i="1"/>
  <c r="O104" i="1"/>
  <c r="O102" i="1"/>
  <c r="O101" i="1"/>
  <c r="O100"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1" i="1"/>
  <c r="K82" i="1"/>
  <c r="K83" i="1"/>
  <c r="K84" i="1"/>
  <c r="K85" i="1"/>
  <c r="K86" i="1"/>
  <c r="K87" i="1"/>
  <c r="K88" i="1"/>
  <c r="K89" i="1"/>
  <c r="K90" i="1"/>
  <c r="K91" i="1"/>
  <c r="K92" i="1"/>
  <c r="K93" i="1"/>
  <c r="K94" i="1"/>
  <c r="K97" i="1"/>
  <c r="K98" i="1"/>
  <c r="K99" i="1"/>
  <c r="K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1" i="1"/>
  <c r="I82" i="1"/>
  <c r="I83" i="1"/>
  <c r="I84" i="1"/>
  <c r="I85" i="1"/>
  <c r="I86" i="1"/>
  <c r="I87" i="1"/>
  <c r="I88" i="1"/>
  <c r="I89" i="1"/>
  <c r="I90" i="1"/>
  <c r="I91" i="1"/>
  <c r="I92" i="1"/>
  <c r="I93" i="1"/>
  <c r="I94" i="1"/>
  <c r="I97" i="1"/>
  <c r="I98" i="1"/>
  <c r="I99" i="1"/>
  <c r="O99" i="1"/>
  <c r="O97" i="1"/>
  <c r="O92" i="1"/>
  <c r="O84" i="1"/>
  <c r="O83" i="1"/>
  <c r="O82" i="1"/>
  <c r="O78" i="1"/>
  <c r="O72" i="1"/>
  <c r="O70" i="1"/>
  <c r="O69" i="1"/>
  <c r="O68" i="1"/>
  <c r="O65" i="1"/>
  <c r="O60" i="1"/>
  <c r="O58" i="1"/>
  <c r="O57" i="1"/>
  <c r="O55" i="1"/>
  <c r="O49" i="1"/>
  <c r="O47" i="1"/>
  <c r="O43" i="1"/>
  <c r="O38" i="1"/>
  <c r="O34" i="1"/>
  <c r="O26" i="1"/>
  <c r="O25" i="1"/>
  <c r="O24" i="1"/>
  <c r="O18" i="1"/>
  <c r="O13" i="1"/>
  <c r="O9" i="1" l="1"/>
  <c r="O8" i="1"/>
  <c r="O10" i="1"/>
  <c r="O15" i="1"/>
  <c r="O20" i="1"/>
  <c r="O37" i="1"/>
  <c r="O16" i="1"/>
  <c r="O31" i="1"/>
  <c r="O40" i="1"/>
  <c r="O53" i="1"/>
  <c r="O62" i="1"/>
  <c r="O89" i="1"/>
  <c r="O11" i="1"/>
  <c r="O46" i="1"/>
  <c r="O3" i="1"/>
  <c r="O7" i="1"/>
  <c r="O21" i="1"/>
  <c r="O33" i="1"/>
  <c r="O42" i="1"/>
  <c r="O54" i="1"/>
  <c r="O64" i="1"/>
  <c r="O77" i="1"/>
  <c r="O91" i="1"/>
  <c r="O17" i="1"/>
  <c r="O29" i="1"/>
  <c r="O51" i="1"/>
  <c r="O74" i="1"/>
  <c r="O87" i="1"/>
  <c r="O28" i="1"/>
  <c r="O39" i="1"/>
  <c r="O50" i="1"/>
  <c r="O73" i="1"/>
  <c r="O86" i="1"/>
  <c r="O30" i="1"/>
  <c r="O52" i="1"/>
  <c r="O61" i="1"/>
  <c r="O75" i="1"/>
  <c r="O88" i="1"/>
  <c r="O22" i="1"/>
  <c r="O35" i="1"/>
  <c r="O44" i="1"/>
  <c r="O66" i="1"/>
  <c r="O79" i="1"/>
  <c r="O93" i="1"/>
  <c r="O14" i="1"/>
  <c r="O27" i="1"/>
  <c r="O48" i="1"/>
  <c r="O59" i="1"/>
  <c r="O71" i="1"/>
  <c r="O85" i="1"/>
  <c r="O98" i="1"/>
  <c r="O19" i="1"/>
  <c r="O23" i="1"/>
  <c r="O36" i="1"/>
  <c r="O45" i="1"/>
  <c r="O56" i="1"/>
  <c r="O67" i="1"/>
  <c r="O81" i="1"/>
  <c r="O94" i="1"/>
  <c r="O32" i="1"/>
  <c r="O41" i="1"/>
  <c r="O63" i="1"/>
  <c r="O76" i="1"/>
  <c r="O90" i="1"/>
  <c r="O6" i="1"/>
  <c r="O5" i="1"/>
  <c r="O4" i="1"/>
  <c r="O12" i="1"/>
  <c r="O2" i="1"/>
</calcChain>
</file>

<file path=xl/sharedStrings.xml><?xml version="1.0" encoding="utf-8"?>
<sst xmlns="http://schemas.openxmlformats.org/spreadsheetml/2006/main" count="2078" uniqueCount="872">
  <si>
    <t>id</t>
  </si>
  <si>
    <t>Name</t>
  </si>
  <si>
    <t>AlsoKnownAs</t>
  </si>
  <si>
    <t>Definition</t>
  </si>
  <si>
    <t>Cardsort Group</t>
  </si>
  <si>
    <t>Cardsort Group ID</t>
  </si>
  <si>
    <t>Cardsort Subgroup</t>
  </si>
  <si>
    <t>Cardsort Subgroup ID</t>
  </si>
  <si>
    <t>IS_Research</t>
  </si>
  <si>
    <t>-</t>
  </si>
  <si>
    <t>Business</t>
  </si>
  <si>
    <t>Operational Flexibility</t>
  </si>
  <si>
    <t>Adoption Rate</t>
  </si>
  <si>
    <t>% Adoption of Standards; % Adoption to Golden Standards</t>
  </si>
  <si>
    <t>Relates to engineers’ uptake and sustained use of internal tools, workflows, and platforms, reflecting how effectively these resources integrate into daily workflows and solve critical problems. It serves as a key metric for assessing DevEx success and alignment with productivity goals.</t>
  </si>
  <si>
    <t>Process</t>
  </si>
  <si>
    <t>Efficiency</t>
  </si>
  <si>
    <t>Optimal Resource Allocation</t>
  </si>
  <si>
    <t>Application Startup Duration</t>
  </si>
  <si>
    <t>Lattice</t>
  </si>
  <si>
    <t>The time needed to startup an application locally.</t>
  </si>
  <si>
    <t>System</t>
  </si>
  <si>
    <t>Build Time</t>
  </si>
  <si>
    <t>Focus Work</t>
  </si>
  <si>
    <t>Cycle Time</t>
  </si>
  <si>
    <t>Evaluates developers’ mental health, job fulfillment, and workplace conditions. It serves as a critical indicator of systemic issues that harm productivity and retention.</t>
  </si>
  <si>
    <t>Work Load</t>
  </si>
  <si>
    <t>Business Objective Advancement</t>
  </si>
  <si>
    <t>Refers to measuring how effectively software development efforts align with and contribute to achieving specific organizational goals. This metric focuses on outcome-driven impact rather than raw activity metrics (e.g., lines of code, commits).</t>
  </si>
  <si>
    <t>Change Failure Rate</t>
  </si>
  <si>
    <t>Quality</t>
  </si>
  <si>
    <t>Failure Rate</t>
  </si>
  <si>
    <t>CI Determinism</t>
  </si>
  <si>
    <t>LinkedIn</t>
  </si>
  <si>
    <t>The opposite of test flakiness: the chance that a test suite’s result will be valid (not a flake) ensures that identical inputs in a continuous integration (CI) pipeline always produce the same outputs (binaries, artifacts, test results). This guarantees reproducibility, reliability, and traceability in software builds, critical for debugging, compliance, and safety-critical systems.</t>
  </si>
  <si>
    <t>Test Coverage</t>
  </si>
  <si>
    <t>CI Pipeline Failure Rate</t>
  </si>
  <si>
    <t xml:space="preserve">Measures the percentage of builds or automated workflows in a continuous integration (CI) system that fail due to errors (e.g., compilation issues, test failures, dependency conflicts). </t>
  </si>
  <si>
    <t>Code Churn</t>
  </si>
  <si>
    <t>Is the amount of code rewritten shortly after being written.</t>
  </si>
  <si>
    <t>Code Rework</t>
  </si>
  <si>
    <t>Measures how long it takes, in business hours, for code reviewers to respond to each update of the code review from the author.</t>
  </si>
  <si>
    <t>Team</t>
  </si>
  <si>
    <t>Code Rework Rate</t>
  </si>
  <si>
    <t>Is the percentage of code changes that modify recently changed code.</t>
  </si>
  <si>
    <t>Produced Code</t>
  </si>
  <si>
    <t>Output</t>
  </si>
  <si>
    <t>Ease of Delivery</t>
  </si>
  <si>
    <t>Accuracy</t>
  </si>
  <si>
    <t>Measures the effectiveness of automated build, test, and deployment processes in enabling rapid, reliable software delivery.</t>
  </si>
  <si>
    <t>McKinsey Framework</t>
  </si>
  <si>
    <t>Task Assignment</t>
  </si>
  <si>
    <t>Cost Savings</t>
  </si>
  <si>
    <t>EEBO Framework</t>
  </si>
  <si>
    <t>Relates to strategic reductions in product development and operational expenses achieved through optimized engineering practices, aligning technical efficiency with business profitability. This is measured by tracking how engineering improvements directly lower costs while maintaining quality and delivery speed.</t>
  </si>
  <si>
    <t>Measures how pleased customers are with a product, service, or interaction, typically via surveys. Responses are aggregated into a percentage score representing the proportion of satisfied customers</t>
  </si>
  <si>
    <t>Customer</t>
  </si>
  <si>
    <t>Measures the time from code commit to code running in production. Shows how quickly team can respond to business needs.</t>
  </si>
  <si>
    <t>GoodRx</t>
  </si>
  <si>
    <t>Deployment Frequency</t>
  </si>
  <si>
    <t>Deployment Success Rate</t>
  </si>
  <si>
    <t>Code Quality</t>
  </si>
  <si>
    <t>Amplitude</t>
  </si>
  <si>
    <t>This metric in software engineering measures how often a specific service or microservice is deployed within a given timeframe. This metric is commonly used in DevOps and microservices architectures to track deployment frequency across different services.</t>
  </si>
  <si>
    <t>Design</t>
  </si>
  <si>
    <t>Captures documentation quality, architectural decisions, and prototyping efforts.</t>
  </si>
  <si>
    <t>Self-Service and Documentation</t>
  </si>
  <si>
    <t>Local Build Time</t>
  </si>
  <si>
    <t>Impact and Efficacy</t>
  </si>
  <si>
    <t>Developer Satisfaction</t>
  </si>
  <si>
    <t>Customer satisfaction score for developers. Measures developer and team happiness with regards to development systems.</t>
  </si>
  <si>
    <t>Satisfaction</t>
  </si>
  <si>
    <t>The Developer Velocity Index (DVI) is a survey that measures an enterprise’s technology, working practices, and organizational enablement and benchmarks them against peers. This comparison helps unearth specific areas of opportunity, whether in backlog management, testing, or security and compliance. For example, one company, well known for its technological progress and all-star developers, sought to define standard working practices more thoughtfully for cross-team collaboration after discovering a high amount of dissatisfaction, rework, and inefficiency reported by developers.</t>
  </si>
  <si>
    <t>Diff Authoring Time</t>
  </si>
  <si>
    <t>Discoverability of Documentation and Expertise</t>
  </si>
  <si>
    <t>Refers to how easily developers can locate critical information (e.g., codebase guides, API references) or identify colleagues with specific knowledge.</t>
  </si>
  <si>
    <t>Ease</t>
  </si>
  <si>
    <t>Refers to how simple, straightforward, and frictionless it is for developers or teams to deliver software, features, or updates through their development processes and tooling. Captures the perceived and actual effort required to move work from development to production.</t>
  </si>
  <si>
    <t>Engineer Engagement</t>
  </si>
  <si>
    <t>Refers to the emotional commitment, motivation, and involvement that software engineers or developers have toward their work, team, and organization.</t>
  </si>
  <si>
    <t>Error Rates</t>
  </si>
  <si>
    <t>Quantifies the frequency of user or system mistakes during interactions with a product (e.g., failed API requests, UI slips, or task errors)</t>
  </si>
  <si>
    <t>Experience of New Members</t>
  </si>
  <si>
    <t>Is a combination of satisfaction, well-being and integration indicators to ensure new developers feel supported, included and able to contribute effectively.</t>
  </si>
  <si>
    <t>Onboarding</t>
  </si>
  <si>
    <t>Experiment Velocity</t>
  </si>
  <si>
    <t>Etsy</t>
  </si>
  <si>
    <t>Refers to the speed and efficiency at which the platform conducts and evaluates A/B tests to optimize features, algorithms, and user experiences.</t>
  </si>
  <si>
    <t>Performance</t>
  </si>
  <si>
    <t>Failed Deployment Recovery Time</t>
  </si>
  <si>
    <t>Failure Recovery</t>
  </si>
  <si>
    <t>Collaboration</t>
  </si>
  <si>
    <t>Handoffs</t>
  </si>
  <si>
    <t>Impact</t>
  </si>
  <si>
    <t>Evaluates the tangible outcomes and value delivered by development efforts. Unlike raw outputs (e.g., lines of code), impact focuses on business results and user-centric effects of software work. Making significant contributions to one’s business unit or area of ownership, ensuring that work has a tangible impact.</t>
  </si>
  <si>
    <t>Initiative Progress and ROI</t>
  </si>
  <si>
    <t>Measures the financial impact and advancement of specific developer experience (DevEx) improvement projects, linking technical efforts to business outcomes. It evaluates whether investments in tools, processes, or workflows deliver measurable returns.</t>
  </si>
  <si>
    <t>Inner / Outer Loop Time Spent</t>
  </si>
  <si>
    <t>Measures the number of interruptions.</t>
  </si>
  <si>
    <t>Upskilling</t>
  </si>
  <si>
    <t>Line Coverage</t>
  </si>
  <si>
    <t>Peloton</t>
  </si>
  <si>
    <t>Line Coverage is a code coverage metric that measures the percentage of lines in a codebase that have been executed during testing. It helps determine how well a test suite exercises the code.</t>
  </si>
  <si>
    <t>Linting Duration</t>
  </si>
  <si>
    <t>Mean Time to Recover</t>
  </si>
  <si>
    <t>Mean Time to Recover (MTTR) is a key DevOps and IT reliability metric that measures the average time it takes to restore a system after a failure. It reflects how quickly teams can diagnose, fix, and recover from incidents.
Time from bug report to fix deployment. Shows quality response capability.</t>
  </si>
  <si>
    <t>Network metrics that show who is connected to whom and how.</t>
  </si>
  <si>
    <t>Number of Deployments</t>
  </si>
  <si>
    <t>Measures the number of deployments.</t>
  </si>
  <si>
    <t>Number of Escaped Bugs</t>
  </si>
  <si>
    <t>HR</t>
  </si>
  <si>
    <t>Operational Activity</t>
  </si>
  <si>
    <t>Refers to the routine tasks and processes required to maintain, monitor, and support software systems in production. These activities ensure the system remains stable, secure, and performant while minimizing downtime.</t>
  </si>
  <si>
    <t>Reliability and Stability</t>
  </si>
  <si>
    <t>Perceived Productivity</t>
  </si>
  <si>
    <t>Self-reported Productivity</t>
  </si>
  <si>
    <t>Perceived Rate of Delivery</t>
  </si>
  <si>
    <t>A subjective metric that reflects how fast stakeholders (e.g., customers, executives, or internal teams) believe software is being delivered, regardless of the actual speed. It’s influenced by communication, transparency, and user experience rather than just raw deployment frequency.</t>
  </si>
  <si>
    <t>Perceived Software Quality</t>
  </si>
  <si>
    <t>Evaluates how users perceive the overall quality of a software product. This metric is subjective and focuses on user satisfaction, usability, and the software’s ability to meet user expectations. It often involves collecting feedback through surveys, such as Customer Satisfaction (CSAT) scores, which measure user perceptions of quality based on their experience with the product.</t>
  </si>
  <si>
    <t>Percentage of Regrettable Attrition</t>
  </si>
  <si>
    <t>Refers to the voluntary departure of highly valued employees whose loss significantly impacts the organization.</t>
  </si>
  <si>
    <t>Percentage of Time Spent on New Capabilities</t>
  </si>
  <si>
    <t xml:space="preserve">Measures the proportion of a team's time dedicated to building new features or capabilities, as opposed to activities like maintenance, bug fixes, or refactoring. </t>
  </si>
  <si>
    <t>Pull Request Cycle Time</t>
  </si>
  <si>
    <t>Pull Request Size</t>
  </si>
  <si>
    <t>Custom Quality Metric</t>
  </si>
  <si>
    <t>Quality of Documentation</t>
  </si>
  <si>
    <t>Measures how well documentation supports the software development process, particularly in enabling developers to work efficiently and effectively.</t>
  </si>
  <si>
    <t>Quality of Code Reviews</t>
  </si>
  <si>
    <t>Measures quality of code reviews contributed by team members.</t>
  </si>
  <si>
    <t>R&amp;D as Percentage of Revenue</t>
  </si>
  <si>
    <t>Measures how much of a company’s total revenue is invested in research and development (R&amp;D).</t>
  </si>
  <si>
    <t>Release Frequency</t>
  </si>
  <si>
    <t>Response Time</t>
  </si>
  <si>
    <t>Measures the server’s speed in fulfilling user requests.</t>
  </si>
  <si>
    <t>How well an organization retains its employees over a given period.</t>
  </si>
  <si>
    <t>Revenue per Engineer</t>
  </si>
  <si>
    <t>Measures the average revenue per engineer.</t>
  </si>
  <si>
    <t>Self-Serve Dependency Maintenance</t>
  </si>
  <si>
    <t>Atlassian</t>
  </si>
  <si>
    <t>Speed</t>
  </si>
  <si>
    <t>Relates to how quickly software engineers can accomplish their tasks, focusing on the efficiency of workflows and processes that enable rapid delivery without compromising quality. This includes quantiative metrics (logs for task durations, deployment statistics, and CI/CD pipeline metrics) and qualitative metrics (developer surveys, diary studies, and interviews to understand perceptions and identify pain points).</t>
  </si>
  <si>
    <t>The amount of work completed per sprint/time period. Helps with planning and tracking.</t>
  </si>
  <si>
    <t>Talent Capability Score</t>
  </si>
  <si>
    <t>Ease of Work</t>
  </si>
  <si>
    <t>Team Collaboration Effectiveness</t>
  </si>
  <si>
    <t>Technical Debt Ratio</t>
  </si>
  <si>
    <t>Maintenance Burden</t>
  </si>
  <si>
    <t>The percentage of code covered by automated tests. Shows confidence in change safety.</t>
  </si>
  <si>
    <t>Test Runner Duration</t>
  </si>
  <si>
    <t>Measures the duration to run tests for various apps and packages locally.</t>
  </si>
  <si>
    <t>Test Time</t>
  </si>
  <si>
    <t>Time Spent in Code Review</t>
  </si>
  <si>
    <t>Measures the time developers spend reviewing others’ code.</t>
  </si>
  <si>
    <t>Time to Market for New Features</t>
  </si>
  <si>
    <t>Spotify</t>
  </si>
  <si>
    <t>Uber</t>
  </si>
  <si>
    <t>Company</t>
  </si>
  <si>
    <t>Research</t>
  </si>
  <si>
    <t>SPACE Framework</t>
  </si>
  <si>
    <t>Cognitive Effort</t>
  </si>
  <si>
    <t>Number of Modifications / Modules / WorkItems / Requirements</t>
  </si>
  <si>
    <t>Time Spent in Value-added Activities; Time Spent in Different Applications/Activities</t>
  </si>
  <si>
    <t>Code Coverage</t>
  </si>
  <si>
    <t>Self-Service Documentation; Written Communication Effectiveness Through Design Documents</t>
  </si>
  <si>
    <t>Release Count</t>
  </si>
  <si>
    <t>Employment Retention</t>
  </si>
  <si>
    <t>9; 31</t>
  </si>
  <si>
    <t>Career Development Opportunities</t>
  </si>
  <si>
    <t>Complexity</t>
  </si>
  <si>
    <t>Halstead Effort by Time; Average Complexity per Method; Weighted Methods</t>
  </si>
  <si>
    <t>7; 15; 21; 51; 52; 92</t>
  </si>
  <si>
    <t>Engagement; Developer Engagement</t>
  </si>
  <si>
    <t>Direct Customer Impact Measures</t>
  </si>
  <si>
    <t>PR Time in Review; Code Review Time; Review Time; Median Wall-Clock Review Time; Median Wall-Clock Merge Time</t>
  </si>
  <si>
    <t>D’Angelo et al. (2024)</t>
  </si>
  <si>
    <t>https://doi.org/10.1109/MS.2024.3386027</t>
  </si>
  <si>
    <t>Brown et al. (2023)</t>
  </si>
  <si>
    <t>https://doi.org/10.1109/MS.2023.3305718</t>
  </si>
  <si>
    <t>Oliveira et al. (2020)</t>
  </si>
  <si>
    <t>https://doi.org/10.1007/s10664-020-09820-z</t>
  </si>
  <si>
    <t>Sanwal and Deva (2024)</t>
  </si>
  <si>
    <t>https://www.ijtsrd.com/papers/ijtsrd69393.pdf</t>
  </si>
  <si>
    <t>Gonçales et al. (2019)</t>
  </si>
  <si>
    <t>https://doi.org/10.1109/ICPC.2019.00018</t>
  </si>
  <si>
    <t>Edberg and Bowman (2015)</t>
  </si>
  <si>
    <t>https://doi.org/10.1080/07421222.1996.11518117</t>
  </si>
  <si>
    <t>Kokrehel and Bilicki (2021)</t>
  </si>
  <si>
    <t>https://doi.org/10.1556/606.2021.00372</t>
  </si>
  <si>
    <t>Oliveira et al. (2017)</t>
  </si>
  <si>
    <t>https://doi.org/10.5220/0006314400760087</t>
  </si>
  <si>
    <t>Green et al. (2024)</t>
  </si>
  <si>
    <t>https://doi.org/10.1109/MS.2023.3324830</t>
  </si>
  <si>
    <t>Green et al. (2023)</t>
  </si>
  <si>
    <t>https://doi.org/10.1109/MS.2023.3291158</t>
  </si>
  <si>
    <t>Treude et al. (2015)</t>
  </si>
  <si>
    <t>https://doi.org/10.1145/2786805.2786827</t>
  </si>
  <si>
    <t>Bao et al. (2022)</t>
  </si>
  <si>
    <t>https://doi.org/10.1007/s11432-020-3278-4</t>
  </si>
  <si>
    <t>Cheng et al. (2022)</t>
  </si>
  <si>
    <t>https://doi.org/10.1145/3540250.3558940</t>
  </si>
  <si>
    <t>Kuutila et al. (2020)</t>
  </si>
  <si>
    <t>https://doi.org/10.1145/3387940.3392224</t>
  </si>
  <si>
    <t>Bakal et al. (2025)</t>
  </si>
  <si>
    <t>https://doi.org/10.48550/arXiv.2501.13282</t>
  </si>
  <si>
    <t>Guglielmi et al. (2025)</t>
  </si>
  <si>
    <t>https://doi.org/10.48550/arXiv.2504.06808</t>
  </si>
  <si>
    <t>Gousios et al. (2008)</t>
  </si>
  <si>
    <t>https://doi.org/10.1145/1370750.1370781</t>
  </si>
  <si>
    <t>Moser et al. (2008)</t>
  </si>
  <si>
    <t>https://doi.org/10.1007/978-3-540-85279-7_20</t>
  </si>
  <si>
    <t xml:space="preserve">Madeyski and Szała (2007) </t>
  </si>
  <si>
    <t>https://doi.org/10.1007/978-3-540-75381-0_18</t>
  </si>
  <si>
    <t>Srinivasan et al. (2025)</t>
  </si>
  <si>
    <t>http://dx.doi.org/10.20473/jisebi.11.1.79-90</t>
  </si>
  <si>
    <t>Lima et al. (2015)</t>
  </si>
  <si>
    <t>https://doi.org/10.1109/ICSM.2015.7332509</t>
  </si>
  <si>
    <t>Caulo et al. (2021)</t>
  </si>
  <si>
    <t>https://doi.org/10.1145/3463274.3463327</t>
  </si>
  <si>
    <t>Peng et al. (2023)</t>
  </si>
  <si>
    <t>https://doi.org/10.48550/arXiv.2302.06590</t>
  </si>
  <si>
    <t>Mockus (2009)</t>
  </si>
  <si>
    <t>https://doi.org/10.1109/ICSE.2009.5070509</t>
  </si>
  <si>
    <t>Besker et al. (2019)</t>
  </si>
  <si>
    <t>https://doi.org/10.1016/j.jss.2019.06.004</t>
  </si>
  <si>
    <t>Parrish et al. (2004)</t>
  </si>
  <si>
    <t>https://doi.org/10.1109/MS.2004.1331306</t>
  </si>
  <si>
    <t>https://www.cai.sk/ojs/index.php/cai/article/view/969</t>
  </si>
  <si>
    <t>Solanke (2024)</t>
  </si>
  <si>
    <t>https://www.researchgate.net/publication/390585493_Software_Development_in_the_Age_of_AI_Quantifiable_Frameworks_for_Measuring_Enhanced_Developer_Productivity?enrichId=rgreq-cbf68995c55ab8589b5d2af0c0868704-XXX&amp;enrichSource=Y292ZXJQYWdlOzM5MDU4NTQ5MztBUzoxMTQzMTI4MTM2MTA1MDUxOUAxNzQ0MTE3OTM3MjQ4&amp;el=1_x_2&amp;_esc=publicationCoverPdf</t>
  </si>
  <si>
    <t>Duncan (1988)</t>
  </si>
  <si>
    <t>https://doi.org/10.1109/ICSE.1988.93686</t>
  </si>
  <si>
    <t>Beller et al. (2025)</t>
  </si>
  <si>
    <t>https://doi.org/10.48550/arXiv.2503.10977</t>
  </si>
  <si>
    <t>Sarimbekov et al (2014</t>
  </si>
  <si>
    <t>https://doi.org/10.1016/j.scico.2014.03.014</t>
  </si>
  <si>
    <t>DX (2024a)</t>
  </si>
  <si>
    <t>https://getdx.com/blog/how-google-measures-developer-productivity/</t>
  </si>
  <si>
    <t>Google</t>
  </si>
  <si>
    <t>Gitpod (2025)</t>
  </si>
  <si>
    <t>https://www.gitpod.io/blog/20-most-popular-developer-productivity-metrics</t>
  </si>
  <si>
    <t>DX (2024b)</t>
  </si>
  <si>
    <t>https://getdx.com/blog/developer-productivity-metrics/</t>
  </si>
  <si>
    <t>Jetbrains (2024)</t>
  </si>
  <si>
    <t>https://www.jetbrains.com/lp/devecosystem-2024/</t>
  </si>
  <si>
    <t>https://www.linkedin.com/blog/engineering/developer-experience-productivity/inside-look-measuring-developer-productivity-and-happiness-at-l</t>
  </si>
  <si>
    <t>Hatica (2024)</t>
  </si>
  <si>
    <t>https://www.hatica.io/blog/how-leading-tech-companies-measure-developer-productivity/</t>
  </si>
  <si>
    <t>gun.io (2025)</t>
  </si>
  <si>
    <t>https://gun.io/news/2025/01/how-to-measure-developer-productivity/</t>
  </si>
  <si>
    <t>https://doi.org/10.1109/MS.2020.3048200</t>
  </si>
  <si>
    <t>https://techcommunity.microsoft.com/blog/azuredevcommunityblog/putting-tools-in-your-hands-to-improve-developer-productivity/2902225</t>
  </si>
  <si>
    <t>https://tech.lattice.com/article/measuring-the-lattice-developer-experience-in-a-systematic-way</t>
  </si>
  <si>
    <t>DX (2025)</t>
  </si>
  <si>
    <t>https://getdx.com/podcast/developer-experience-survey-at-peloton/</t>
  </si>
  <si>
    <t>https://backstage.spotify.com/discover/blog/how-spotify-measures-backstage-roi/</t>
  </si>
  <si>
    <t>Forsgren et al. (2024)</t>
  </si>
  <si>
    <t>https://www.inorigin.eu/how-uber-is-measuring-engineering-productivity-2/</t>
  </si>
  <si>
    <t>Wagner and Deissenboeck (2019)</t>
  </si>
  <si>
    <t>https://doi.org/10.1007/978-1-4842-4221-6_4</t>
  </si>
  <si>
    <t>Jaspan and  Sadowski (2019)</t>
  </si>
  <si>
    <t>https://doi.org/10.1007/978-1-4842-4221-6_2</t>
  </si>
  <si>
    <t>Sadowski et al. (2019)</t>
  </si>
  <si>
    <t>https://doi.org/10.1007/978-1-4842-4221-6_5</t>
  </si>
  <si>
    <t>Vogelezang and Heeringen (2019)</t>
  </si>
  <si>
    <t>https://doi.org/10.1007/978-1-4842-4221-6_18</t>
  </si>
  <si>
    <t>Ko (2019)</t>
  </si>
  <si>
    <t>https://doi.org/10.1007/978-1-4842-4221-6_3</t>
  </si>
  <si>
    <t>Murphy-Hill and Wagner (2019)</t>
  </si>
  <si>
    <t>https://doi.org/10.1007/978-1-4842-4221-6_7</t>
  </si>
  <si>
    <t>Murphy et al. (2019)</t>
  </si>
  <si>
    <t>https://doi.org/10.1007/978-1-4842-4221-6_24</t>
  </si>
  <si>
    <t>Brumby et al. (2019)</t>
  </si>
  <si>
    <t>https://doi.org/10.1007/978-1-4842-4221-6_9</t>
  </si>
  <si>
    <t>Treude and Filho (2019)</t>
  </si>
  <si>
    <t>https://doi.org/10.1007/978-1-4842-4221-6_15</t>
  </si>
  <si>
    <t>ref_number</t>
  </si>
  <si>
    <t>ref_name</t>
  </si>
  <si>
    <t>ref_link</t>
  </si>
  <si>
    <t>https://newsletter.pragmaticengineer.com/p/measuring-developer-productivity-bae</t>
  </si>
  <si>
    <t>Orosz and Noda (2024)</t>
  </si>
  <si>
    <t>https://doi.org/10.1109/TSE.2019.2900308</t>
  </si>
  <si>
    <t>Murphy-Hill et al. (2021)</t>
  </si>
  <si>
    <t>DORA Framework</t>
  </si>
  <si>
    <t>https://learn.microsoft.com/en-us/assessments/e50f7040-f235-4360-9d1d-cf753e12fed1/</t>
  </si>
  <si>
    <t>https://www.eebo.org/eebo-metrics-emergence.html</t>
  </si>
  <si>
    <t>241; 32</t>
  </si>
  <si>
    <t>506; 15</t>
  </si>
  <si>
    <t>501b</t>
  </si>
  <si>
    <t>501c</t>
  </si>
  <si>
    <t>501b; 501c; 501e; 501d</t>
  </si>
  <si>
    <t>501g</t>
  </si>
  <si>
    <t>202a</t>
  </si>
  <si>
    <t>501h</t>
  </si>
  <si>
    <t>501i</t>
  </si>
  <si>
    <t>501k</t>
  </si>
  <si>
    <t>501j; 501l</t>
  </si>
  <si>
    <t>501l</t>
  </si>
  <si>
    <t>501m</t>
  </si>
  <si>
    <t>501n</t>
  </si>
  <si>
    <t>503; 501</t>
  </si>
  <si>
    <t>160; 501</t>
  </si>
  <si>
    <t>503; 506; 241; 501</t>
  </si>
  <si>
    <t>31; 501</t>
  </si>
  <si>
    <t>105; 501; 131</t>
  </si>
  <si>
    <t>131m; 131n</t>
  </si>
  <si>
    <t>31; 131</t>
  </si>
  <si>
    <t>131b; 131l</t>
  </si>
  <si>
    <t>508; 501; 131</t>
  </si>
  <si>
    <t>105; 234; 235; 131</t>
  </si>
  <si>
    <t>9; 202</t>
  </si>
  <si>
    <t>131k</t>
  </si>
  <si>
    <t>501o</t>
  </si>
  <si>
    <t>504; 214</t>
  </si>
  <si>
    <t>https://doi.org/10.1145/3454122.3454124</t>
  </si>
  <si>
    <t>DevEx Framework</t>
  </si>
  <si>
    <t>https://doi.org/10.1145/3595878</t>
  </si>
  <si>
    <t>https://dora.dev/research/</t>
  </si>
  <si>
    <t>https://getdx.com/research/the-one-number-you-need-to-increase-roi-per-engineer/</t>
  </si>
  <si>
    <t>501a</t>
  </si>
  <si>
    <t>Doordash</t>
  </si>
  <si>
    <t>501d</t>
  </si>
  <si>
    <t>Postman</t>
  </si>
  <si>
    <t>501e</t>
  </si>
  <si>
    <t>Intercom</t>
  </si>
  <si>
    <t>501f</t>
  </si>
  <si>
    <t>Notion</t>
  </si>
  <si>
    <t>501j</t>
  </si>
  <si>
    <t>131a</t>
  </si>
  <si>
    <t>Dropbox</t>
  </si>
  <si>
    <t>131b</t>
  </si>
  <si>
    <t>Netflix</t>
  </si>
  <si>
    <t>131c</t>
  </si>
  <si>
    <t>131d</t>
  </si>
  <si>
    <t>Mozilla</t>
  </si>
  <si>
    <t>131e</t>
  </si>
  <si>
    <t>131f</t>
  </si>
  <si>
    <t>SonarSource</t>
  </si>
  <si>
    <t>131g</t>
  </si>
  <si>
    <t>Square</t>
  </si>
  <si>
    <t>131h</t>
  </si>
  <si>
    <t>131i</t>
  </si>
  <si>
    <t>131j</t>
  </si>
  <si>
    <t>131l</t>
  </si>
  <si>
    <t>131m</t>
  </si>
  <si>
    <t>Adobe</t>
  </si>
  <si>
    <t>131n</t>
  </si>
  <si>
    <t>Salesforce</t>
  </si>
  <si>
    <t>131o</t>
  </si>
  <si>
    <t>131q</t>
  </si>
  <si>
    <t>Intel</t>
  </si>
  <si>
    <t>131r</t>
  </si>
  <si>
    <t>IBM</t>
  </si>
  <si>
    <t>131s</t>
  </si>
  <si>
    <t>GitLab</t>
  </si>
  <si>
    <t>131t</t>
  </si>
  <si>
    <t>GitHub</t>
  </si>
  <si>
    <t>183a</t>
  </si>
  <si>
    <t>146a</t>
  </si>
  <si>
    <t>146b</t>
  </si>
  <si>
    <t>Metrics related to cost or investments.</t>
  </si>
  <si>
    <t>Is a metric that shows  the availability of career advancement opportunities.</t>
  </si>
  <si>
    <t>Metrics related to complexity of methods or tasks in the coding process.</t>
  </si>
  <si>
    <t>Number of companies</t>
  </si>
  <si>
    <t>Number of research</t>
  </si>
  <si>
    <t>Developer Enablement</t>
  </si>
  <si>
    <t>value</t>
  </si>
  <si>
    <t>6a</t>
  </si>
  <si>
    <t>32a</t>
  </si>
  <si>
    <t>5a</t>
  </si>
  <si>
    <t>501c; 501l; 501b; 501e; 501g; 501d; 5a</t>
  </si>
  <si>
    <t>501b; 5a</t>
  </si>
  <si>
    <t>501b; 501d</t>
  </si>
  <si>
    <t>160; 501; 146</t>
  </si>
  <si>
    <t>170; 131c; 131o; 201</t>
  </si>
  <si>
    <t>501; 146</t>
  </si>
  <si>
    <t>508; 506; 9; 50; 160; 131; 202; 182; 146</t>
  </si>
  <si>
    <t>20a</t>
  </si>
  <si>
    <t>506; 501; 183</t>
  </si>
  <si>
    <t>501; 183</t>
  </si>
  <si>
    <t>503; 501; 183</t>
  </si>
  <si>
    <t>506; 508; 183</t>
  </si>
  <si>
    <t>232a</t>
  </si>
  <si>
    <t>https://github.blog/news-insights/research/research-how-github-copilot-helps-improve-developer-productivity/</t>
  </si>
  <si>
    <t>Meyer et al. (2014)</t>
  </si>
  <si>
    <t>Meyer et al. (2017)</t>
  </si>
  <si>
    <t>https://slack.engineering/mobile-developer-experience-at-slack/</t>
  </si>
  <si>
    <t>Slack</t>
  </si>
  <si>
    <t>Test Failure Rate</t>
  </si>
  <si>
    <t>A metric used to measure the percentage of test cases that fail during a specific testing period or for a particular software build.</t>
  </si>
  <si>
    <t>https://doi.org/10.1109/TSE.2017.2656886</t>
  </si>
  <si>
    <t>https://doi.org/10.1145/2635868.2635892</t>
  </si>
  <si>
    <t>506; 238; 39</t>
  </si>
  <si>
    <t>Beller et al. (2020)</t>
  </si>
  <si>
    <t>http://dx.doi.org/10.1145/3643140</t>
  </si>
  <si>
    <t>Unluturk and Kurtel (2016)</t>
  </si>
  <si>
    <t>https://newsletter.pragmaticengineer.com/p/how-tech-companies-measure-the-impact-of-ai</t>
  </si>
  <si>
    <t>511</t>
  </si>
  <si>
    <t>Orosz and Tacho (2025)</t>
  </si>
  <si>
    <t>511a</t>
  </si>
  <si>
    <t>Monzo</t>
  </si>
  <si>
    <t>Adyen</t>
  </si>
  <si>
    <t>Booking.com</t>
  </si>
  <si>
    <t>Glassdoor</t>
  </si>
  <si>
    <t>Webflow</t>
  </si>
  <si>
    <t>Toast</t>
  </si>
  <si>
    <t>eBay</t>
  </si>
  <si>
    <t>CircleCI</t>
  </si>
  <si>
    <t>CarGurus</t>
  </si>
  <si>
    <t>Xero</t>
  </si>
  <si>
    <t>511b</t>
  </si>
  <si>
    <t>511c</t>
  </si>
  <si>
    <t>511d</t>
  </si>
  <si>
    <t>511e</t>
  </si>
  <si>
    <t>511f</t>
  </si>
  <si>
    <t>511g</t>
  </si>
  <si>
    <t>511h</t>
  </si>
  <si>
    <t>511i</t>
  </si>
  <si>
    <t>511j</t>
  </si>
  <si>
    <t>511k</t>
  </si>
  <si>
    <t>511l</t>
  </si>
  <si>
    <t>511m</t>
  </si>
  <si>
    <t>511n</t>
  </si>
  <si>
    <t>511o</t>
  </si>
  <si>
    <t>511p</t>
  </si>
  <si>
    <t>T-Mobile</t>
  </si>
  <si>
    <t>Grammarly</t>
  </si>
  <si>
    <t>DAU/WAU/MAU for AI tools</t>
  </si>
  <si>
    <t>Daily, weekly or monthly active users of deployed AI tools.</t>
  </si>
  <si>
    <t>Microsoft</t>
  </si>
  <si>
    <t>Utilization</t>
  </si>
  <si>
    <t>Related Metrics</t>
  </si>
  <si>
    <t>Percentage of Pull Requests assisted by AI</t>
  </si>
  <si>
    <t>511e; 511g</t>
  </si>
  <si>
    <t>Percentage of code drafted or submitted by AI</t>
  </si>
  <si>
    <t>None</t>
  </si>
  <si>
    <t>501a; 501b; 501k; 511a; 511b; 511c; 511d; 511e; 511f; 511g; 511h; 511i; 511j; 511k; 511l; 511m; 511n; 511o; 511p</t>
  </si>
  <si>
    <t>AI Specific Category</t>
  </si>
  <si>
    <t>511b; 511e; 511h; 511o; 511p</t>
  </si>
  <si>
    <t>Cost</t>
  </si>
  <si>
    <t>AI Spend</t>
  </si>
  <si>
    <t>Identifying power users to help exchanging best practices.</t>
  </si>
  <si>
    <t>Identifying unused AI licenses to foster adoption or save costs.</t>
  </si>
  <si>
    <t>2</t>
  </si>
  <si>
    <t>511b; 511c; 511e; 511h; 511i</t>
  </si>
  <si>
    <t>138</t>
  </si>
  <si>
    <t>Costs or capacity of AI use.</t>
  </si>
  <si>
    <t>511q</t>
  </si>
  <si>
    <t>Vanguard</t>
  </si>
  <si>
    <t>511a; 511b; 511c; 511d; 511e; 511f; 511g; 511h; 511i; 511j; 511k; 511l; 511m; 511n; 511o; 511p; 511q</t>
  </si>
  <si>
    <t>Estimated time savings from using AI</t>
  </si>
  <si>
    <t>24</t>
  </si>
  <si>
    <t>Throughput</t>
  </si>
  <si>
    <t>501n; 501j; 209; 511e; 511g; 511a; 511c; 511d; 511e; 511f; 511g; 511j; 511k; 511m; 511n; 511p</t>
  </si>
  <si>
    <t>501c; 131h; 501g; 202a; 511a; 511c; 511d; 511r; 511f; 511g; 511j; 511k; 511m; 511i</t>
  </si>
  <si>
    <t>511r</t>
  </si>
  <si>
    <t>Time From Creating a Patch to Patch Release; Time to Value; Time to Merge (TTM); PR Cycle Time</t>
  </si>
  <si>
    <t>Unit Test Quality; Code Quality; Process Quality; System Quality; Code Maintainability</t>
  </si>
  <si>
    <t>501m; 5a; 511a; 511f</t>
  </si>
  <si>
    <t>109</t>
  </si>
  <si>
    <t>146b; 131k; 131b; 202a; 501k; 146a; 209; 511i; 511d</t>
  </si>
  <si>
    <t>501o; 131a; 131d; 131m; 202a; 511i; 511l</t>
  </si>
  <si>
    <t>Innovation rate</t>
  </si>
  <si>
    <t>511a; 511j; 511h</t>
  </si>
  <si>
    <t>131s; 131t; 32a; 511b</t>
  </si>
  <si>
    <t>511a; 511b</t>
  </si>
  <si>
    <t>501e; 501d; 501k; 5a; 203; 511b</t>
  </si>
  <si>
    <t>40; 46; 59</t>
  </si>
  <si>
    <t>131l; 32a; 511b; 511h</t>
  </si>
  <si>
    <t>PR revert rate</t>
  </si>
  <si>
    <t>131q; 131r; 511k</t>
  </si>
  <si>
    <t>202a; 511i</t>
  </si>
  <si>
    <t>511a; 511c; 511d; 511f; 511g; 511k; 511l; 511n; 511q; 511p</t>
  </si>
  <si>
    <t>https://getdx.com/uploads/ai-measurement-framework.pdf</t>
  </si>
  <si>
    <t>512</t>
  </si>
  <si>
    <t>Chime</t>
  </si>
  <si>
    <t>Tasks assigned to AI agents</t>
  </si>
  <si>
    <t>Number of tasks that developers assign to their AI agents.</t>
  </si>
  <si>
    <t>Net time gain per developer</t>
  </si>
  <si>
    <t>513</t>
  </si>
  <si>
    <t>https://arxiv.org/pdf/2602.03593</t>
  </si>
  <si>
    <t>Chen (2026)</t>
  </si>
  <si>
    <t>Degree to which AI reduces context-switching and reliance on external resources.</t>
  </si>
  <si>
    <t>149</t>
  </si>
  <si>
    <t>Whether developers maintain deep understanding of and accountability for AI-assisted code.</t>
  </si>
  <si>
    <t>Technical expertise development; Skill development</t>
  </si>
  <si>
    <t>38</t>
  </si>
  <si>
    <t>Meta</t>
  </si>
  <si>
    <t>company_size</t>
  </si>
  <si>
    <t>Enterprise</t>
  </si>
  <si>
    <t>5000+ developers</t>
  </si>
  <si>
    <t>developer_count</t>
  </si>
  <si>
    <t>Large</t>
  </si>
  <si>
    <t>Mid-size</t>
  </si>
  <si>
    <t>51-500</t>
  </si>
  <si>
    <t>501-5000</t>
  </si>
  <si>
    <t>Small</t>
  </si>
  <si>
    <t>1-50</t>
  </si>
  <si>
    <t>N/A</t>
  </si>
  <si>
    <t>research_instituation</t>
  </si>
  <si>
    <t>Twitter/X</t>
  </si>
  <si>
    <t>Stripe</t>
  </si>
  <si>
    <t>160; 501; 146; 512</t>
  </si>
  <si>
    <t>140</t>
  </si>
  <si>
    <t>Outcome Goals</t>
  </si>
  <si>
    <t>Developer Experience</t>
  </si>
  <si>
    <t>Organizational Effectiveness</t>
  </si>
  <si>
    <t>Product Excellence</t>
  </si>
  <si>
    <t>Communication Network Density</t>
  </si>
  <si>
    <t>Ease of Collection</t>
  </si>
  <si>
    <t>Moderate</t>
  </si>
  <si>
    <t>Easy</t>
  </si>
  <si>
    <t>Complex</t>
  </si>
  <si>
    <t>Data Collection Type</t>
  </si>
  <si>
    <t>Aims to capture all active human developer time spent on a particular diff, split by the different roles involved. This information is made available in a privacy-aware manner. Active human work on a computer tends to be highly sequential, even if such individual sequences can be extremely short.</t>
  </si>
  <si>
    <t>qualitative</t>
  </si>
  <si>
    <t>quantitative</t>
  </si>
  <si>
    <t>The ability to work in focus or flow, i.e. uninterrupted, in meeting-free blocks that allow the developer to concentrate deeply on their work. Often reported as percentage of total time or average time.</t>
  </si>
  <si>
    <t>both</t>
  </si>
  <si>
    <t>50</t>
  </si>
  <si>
    <t>514</t>
  </si>
  <si>
    <t>DX Core 4 Framework</t>
  </si>
  <si>
    <t>https://getdx.com/research/measuring-developer-productivity-with-the-dx-core-4/</t>
  </si>
  <si>
    <t>505; 506; 514; 508; 9; 96; 160; 501; 131; 202; 146; 182</t>
  </si>
  <si>
    <t>514; 7; 14; 31; 49; 52; 57; 96;108; 192; 234; 32; 131</t>
  </si>
  <si>
    <t>514; 505</t>
  </si>
  <si>
    <t>514; 9</t>
  </si>
  <si>
    <t>514; 501; 512</t>
  </si>
  <si>
    <t>514; 131; 202; 146</t>
  </si>
  <si>
    <t>DXI Metric</t>
  </si>
  <si>
    <t>Developer Experience Index</t>
  </si>
  <si>
    <t xml:space="preserve">Proprietary composite score that aims to predict engineering effectiveness and can be linked to financial impact. It is meant to capture whether developers have the right conditions to work effectively. Built by combining self-reports on 14 dimensions, including deep work, local iteration speed, release process, and confidence in making changes. </t>
  </si>
  <si>
    <t>514; 509</t>
  </si>
  <si>
    <t>Diff Risk Score</t>
  </si>
  <si>
    <t>PR Risk Score</t>
  </si>
  <si>
    <t>https://dl.acm.org/doi/pdf/10.1145/3722216</t>
  </si>
  <si>
    <t xml:space="preserve">Predicts the likelihood of a code change (diff) causing a production incident. </t>
  </si>
  <si>
    <t>515b</t>
  </si>
  <si>
    <t>515a</t>
  </si>
  <si>
    <t>https://engineering.fb.com/2025/08/06/developer-tools/diff-risk-score-drs-ai-risk-aware-software-development-meta/</t>
  </si>
  <si>
    <t>Mockus (2025)</t>
  </si>
  <si>
    <t>https://www.mckinsey.com/industries/technology-media-and-telecommunications/our-insights/yes-you-can-measure-software-developer-productivity</t>
  </si>
  <si>
    <t>Time spent Coding</t>
  </si>
  <si>
    <t>Active Coding Time; Coding Time; Focus Coding Time</t>
  </si>
  <si>
    <t>The amount or proportion of a developer's working time actively spent writing or editing code, as measured by IDE telemetry. Excludes building, testing, meetings, and other non-coding activities. Helps to identify whether developers have sufficient uninterrupted time for core development work.</t>
  </si>
  <si>
    <t>516a</t>
  </si>
  <si>
    <t>https://ieeexplore.ieee.org/document/8666786</t>
  </si>
  <si>
    <t>Meyer (2021)</t>
  </si>
  <si>
    <t>516b</t>
  </si>
  <si>
    <t>https://linearb.io/blog/how-meta-measures-coding-time</t>
  </si>
  <si>
    <t>516c</t>
  </si>
  <si>
    <t>516d</t>
  </si>
  <si>
    <t>516e</t>
  </si>
  <si>
    <t>https://dpe.org/sessions/hilary-lanham-tom-kelk/measuring-engineering-productivity-from-a-standing-start-a-330-year-old-banks-journey/</t>
  </si>
  <si>
    <t>https://devops.com/how-to-get-developer-productivity-engineering-right/</t>
  </si>
  <si>
    <t>516b; 516c; 516d; 516e</t>
  </si>
  <si>
    <t>157</t>
  </si>
  <si>
    <t>58</t>
  </si>
  <si>
    <t>Focus Time</t>
  </si>
  <si>
    <t>Flow State; Deep Work; Focused Work; Uninterrupted Time</t>
  </si>
  <si>
    <t>59; 157</t>
  </si>
  <si>
    <t>The proportion of a developer's working time spent on inner-loop activities (coding, building, unit testing) vs. outer-loop activities (integration testing, releasing, deployment). Typically collected via self-report survey or time-tracking tools.
Software development activities can be arranged in two loops. The inner loop covers activities directly related to creating the product: coding, building, and unit testing. The outer loop covers tasks needed to push code to production: integration testing, releasing, and deployment. Maximizing inner-loop time is desirable — it directly generates value and is what most developers find most engaging. Better tooling and automation for outer-loop activities frees up more time for inner-loop work.</t>
  </si>
  <si>
    <t>517a</t>
  </si>
  <si>
    <t>https://www.youtube.com/watch?reload=9&amp;app=desktop&amp;v=GG8JLosF_AI</t>
  </si>
  <si>
    <t>501n; 501j; 501b; 203; 6a; 501m; 517a</t>
  </si>
  <si>
    <t>517b</t>
  </si>
  <si>
    <t>Kanat-Alexander (2025)</t>
  </si>
  <si>
    <t>https://www.codesimplicity.com/post/what-makes-a-great-developer-experience/</t>
  </si>
  <si>
    <t>501m; 131i; 501d; 209; 510; 511b; 511r; 511m; 511h; 511q; 511p; 517a; 516c</t>
  </si>
  <si>
    <t>131f; 131g; 516c</t>
  </si>
  <si>
    <t>501j; 516c</t>
  </si>
  <si>
    <t>170; 146b; 131l; 517a; 516c</t>
  </si>
  <si>
    <t>501h; 516c</t>
  </si>
  <si>
    <t>501n; 516c</t>
  </si>
  <si>
    <t>32a; 516c</t>
  </si>
  <si>
    <t>Lloyds Banking Group</t>
  </si>
  <si>
    <t>511b; 511l; 516c</t>
  </si>
  <si>
    <t>CapitalOne</t>
  </si>
  <si>
    <t>Velocity</t>
  </si>
  <si>
    <t>Sprint Velocity; Developer Velocity</t>
  </si>
  <si>
    <t>Number of Deployments per Developer</t>
  </si>
  <si>
    <t>Quantifies the amount of weekly deployments per developer.</t>
  </si>
  <si>
    <t>Quantifies the number of weekly code reviews per developer.</t>
  </si>
  <si>
    <t>Time Loss</t>
  </si>
  <si>
    <t>Change Fail Rate; Change Fail Percentage</t>
  </si>
  <si>
    <t>This metric measures the percentage of deployments that cause failures in production, requiring hotfixes or rollbacks. A lower change failure rate indicates a more reliable delivery process.</t>
  </si>
  <si>
    <t>Change Lead Time</t>
  </si>
  <si>
    <t>This metric measures the time it takes for a code commit or change to be successfully deployed to production. It reflects the efficiency of your software delivery process to deliver value to customers.</t>
  </si>
  <si>
    <t>This metric measures the time it takes to recover from a failed deployment (e.g. outage or service failure in production). A lower recovery time indicates a more resilient and responsive system.</t>
  </si>
  <si>
    <t>Time to Nth Pull Request</t>
  </si>
  <si>
    <t>Time to First Commit; Time to technical ability to commit; Time to Xth Pull Request; Time to Xth PR</t>
  </si>
  <si>
    <t>Measures how many times work is transferred between individuals, teams, or systems during a workflow.</t>
  </si>
  <si>
    <t>503; 501; 506</t>
  </si>
  <si>
    <t>Number of Handoffs</t>
  </si>
  <si>
    <t>The time elapsed between branch creation until merge to main/production.</t>
  </si>
  <si>
    <t>Measures the total time a pull request spends in all stages of the development pipeline, from the first commit to when the pull request is merged into the codebase (e.g. to the main/production branch). It provides insights into the efficiency of the code review and merging process, helping teams identify bottlenecks and improve workflows.</t>
  </si>
  <si>
    <t>87</t>
  </si>
  <si>
    <t>9</t>
  </si>
  <si>
    <t>Branch Lifetime</t>
  </si>
  <si>
    <t>Time for Onboarding New Hires</t>
  </si>
  <si>
    <t>501m; 131l; 516c; 202a</t>
  </si>
  <si>
    <t>AI Impact</t>
  </si>
  <si>
    <t>PR Size</t>
  </si>
  <si>
    <t>An indicator of overall code review efficiency. Small PRs mean faster pickup time, reviews, and cycles–translating to faster time to value. Larger PRs often result in fewer meaningful comments. For example, PRs with more than 250 lines of code could be tagged.</t>
  </si>
  <si>
    <t>501g; 170; 501o</t>
  </si>
  <si>
    <t>Post-Commit CI Speed; CI Pipeline P50 Build Time</t>
  </si>
  <si>
    <t>CI Build Time</t>
  </si>
  <si>
    <t>Refers to the (median or mean) duration of successful builds in a continuous integration (CI) pipeline. Might be quantified for individual or a group of commits.</t>
  </si>
  <si>
    <t>Measures the onboarding time for new members, also including HR-related onboarding.</t>
  </si>
  <si>
    <t>124</t>
  </si>
  <si>
    <t>72</t>
  </si>
  <si>
    <t>518</t>
  </si>
  <si>
    <t>https://backstage.io/blog/2020/03/16/announcing-backstage/</t>
  </si>
  <si>
    <t>202a; 131i; 131g; 516c; 518</t>
  </si>
  <si>
    <t>Measures the time it takes for a new engineer to create their Nth pull request (PR) after joining a development team. For example, the time to 1st and 10th PR at Spotify.</t>
  </si>
  <si>
    <t>Number of Customer-Reported Defects</t>
  </si>
  <si>
    <t>How often features reach users (independent of deployment frequency, such as when feature flags or staged rollouts are used).</t>
  </si>
  <si>
    <t>How often an organization deploys code/builds to a production environment, regardless of whether that change is yet visible to end users. Higher deployment frequency indicates a more agile and responsive delivery process.</t>
  </si>
  <si>
    <t>94; 79</t>
  </si>
  <si>
    <t>30; 79</t>
  </si>
  <si>
    <t>Bugs reported by customers in production.</t>
  </si>
  <si>
    <t>Measures the number of defects or issues that escape testing and reach production. It measures the effectiveness of testing processes and helps identify weaknesses in quality assurance.</t>
  </si>
  <si>
    <t>Task Completion Rate</t>
  </si>
  <si>
    <t>Service Operational Readiness Score</t>
  </si>
  <si>
    <t>A composite score assessing how well individual services meet operational standards (e.g., monitoring/alarm coverage, runbook completeness, on-call readiness, error-budget adherence) used to track production maturity across a microservices portfolio.</t>
  </si>
  <si>
    <t>Dependency Update Automation Rate</t>
  </si>
  <si>
    <t>The share of dependency updates (internal services and third-party/open-source libraries) that are applied automatically without requiring manual developer intervention. Used as a proxy for how much interrupt-driven toil developers face for keeping their stack current. Measured via developer survey.</t>
  </si>
  <si>
    <t>Developers' emotional responses and perceptions of their interactions with tools, documentation, and workflows. It focuses on how developers feel about using the platform and whether they find it empowering, frustrating, or aligned with their goals.</t>
  </si>
  <si>
    <t>519</t>
  </si>
  <si>
    <t>https://getdx.com/podcast/atlassian-journey-with-developer-experience/</t>
  </si>
  <si>
    <t>501h; 519</t>
  </si>
  <si>
    <t>Amazon</t>
  </si>
  <si>
    <t>Tracks the operational health and security posture of production systems. As currently defined, this metric is vague and underspecified as it doesn't specify which signals are tracked or how they're aggregated.</t>
  </si>
  <si>
    <t>The self-reported productivity by an individual (might be aggregated on team level).</t>
  </si>
  <si>
    <t>AI-Assisted Output</t>
  </si>
  <si>
    <t>520</t>
  </si>
  <si>
    <t>APEX framework</t>
  </si>
  <si>
    <t>https://linearb.io/resources/apex-framework</t>
  </si>
  <si>
    <t>Quantifies the weekly number of design documents generated per engineer.</t>
  </si>
  <si>
    <t>Quantifies the number of features, stories, PRs / diffs, … completed per developer within a time interval (e.g. week).</t>
  </si>
  <si>
    <t>503; 7; 13; 15; 31; 36; 46; 47; 49; 51; 52; 92; 101; 111; 233; 237; 20; 32; 501; 131</t>
  </si>
  <si>
    <t>501m; 32a; 232a; 511b; 232</t>
  </si>
  <si>
    <t>501k; 131e; 199; 232a; 232</t>
  </si>
  <si>
    <t>232a; 232</t>
  </si>
  <si>
    <t>232a; 511r; 232</t>
  </si>
  <si>
    <t>508; 237</t>
  </si>
  <si>
    <t>512; 520</t>
  </si>
  <si>
    <t>514; 505; 506; 508; 9; 160; 501; 131; 202; 183; 146; 512; 520</t>
  </si>
  <si>
    <t>131; 520</t>
  </si>
  <si>
    <t>9; 235; 241; 501; 131; 520</t>
  </si>
  <si>
    <t>501; 131; 202; 520</t>
  </si>
  <si>
    <t>Percentage of PRs assisted by AI</t>
  </si>
  <si>
    <t>Percentage of Code written by AI</t>
  </si>
  <si>
    <t>Degree of Self-sufficiency</t>
  </si>
  <si>
    <t>9; 192; 32; 131; 520</t>
  </si>
  <si>
    <t>Pickup time</t>
  </si>
  <si>
    <t>Planning accuracy</t>
  </si>
  <si>
    <t>Capacity accuracy</t>
  </si>
  <si>
    <t>PR Pickup Time; Review Request Hanging Time; Time to First Review</t>
  </si>
  <si>
    <t>The elapsed time between a pull request's creation (or move from draft to ready-for-review) and the start of the review process, i.e., the first non-author review action.</t>
  </si>
  <si>
    <t>27; 38; 121</t>
  </si>
  <si>
    <t>520a</t>
  </si>
  <si>
    <t>https://linearb.helpdocs.io/article/v2ikos8lvw-pickup-time-metric</t>
  </si>
  <si>
    <t>520; 520a</t>
  </si>
  <si>
    <t>Sprint Commitment Accuracy; Plan vs. Actual Ratio; Delivery Predictability Score</t>
  </si>
  <si>
    <t>The ratio of planned work actually completed within a sprint or iteration, measured in story points or issue count. High values indicate reliable delivery against commitments; low values indicate scope creep or unplanned work crowding out planned scope.</t>
  </si>
  <si>
    <t>113; 160</t>
  </si>
  <si>
    <t>LinearB</t>
  </si>
  <si>
    <t>520b</t>
  </si>
  <si>
    <t>https://linearb.io/resources/quickstart-guide-planning-accuracy</t>
  </si>
  <si>
    <t>520; 520b</t>
  </si>
  <si>
    <t>Team Capacity Accuracy; Workload Accuracy; Sprint Capacity Ratio</t>
  </si>
  <si>
    <t>520; 520c</t>
  </si>
  <si>
    <t>The ratio of all completed work (planned plus unplanned) to the work planned for an iteration, measured in story points or issue count.</t>
  </si>
  <si>
    <t>114; 159</t>
  </si>
  <si>
    <t>https://linearb.io/blog/how-to-accurately-forecast-project-delivery</t>
  </si>
  <si>
    <t>520c</t>
  </si>
  <si>
    <t>521</t>
  </si>
  <si>
    <t>https://linkedin.github.io/dph-framework/</t>
  </si>
  <si>
    <t>LinkedIn DPH Framework</t>
  </si>
  <si>
    <t>Measures the time, in seconds, developers spend waiting for their builds to finish locally during development. Impacts developer flow and productivity. Considered e.g. as median (P50) or P90.</t>
  </si>
  <si>
    <t>501; 521</t>
  </si>
  <si>
    <t>170</t>
  </si>
  <si>
    <t>506; 131; 146; 183; 146; 521</t>
  </si>
  <si>
    <t>9; 57; 183; 521</t>
  </si>
  <si>
    <t>Burnout Risk Score</t>
  </si>
  <si>
    <t>Code Reviewer Response Time</t>
  </si>
  <si>
    <t>Code Reviewer Response Time (P50 and P90); Diff Response Time</t>
  </si>
  <si>
    <t>Tracks contributions to the codebase, for example by number of lines of code.</t>
  </si>
  <si>
    <t>Self-reported mental effort required to perform tasks. Avoiding multitasking, high WIP (work in progress) counts, and attention splitting to maintain focus and reduce cognitive overhead.</t>
  </si>
  <si>
    <t>Cognitive Load Score</t>
  </si>
  <si>
    <t>CI/CD Health Score</t>
  </si>
  <si>
    <t>The number of contribution units, such as modifications, modules touched, work items closed, or requirements implemented, by an individual developer or team within a period. Used to spot trends in team capacity, not as a standalone productivity score.</t>
  </si>
  <si>
    <t>Number of Defects</t>
  </si>
  <si>
    <t>Number of Deploys per Service</t>
  </si>
  <si>
    <t>Build Success Rate</t>
  </si>
  <si>
    <t>The percentage of deployment (CI/CD) runs that complete successfully.</t>
  </si>
  <si>
    <t>12</t>
  </si>
  <si>
    <t>31</t>
  </si>
  <si>
    <t>Developer Build Time; Build Time;  Application/Package Build Duration; Build Time Efficiency</t>
  </si>
  <si>
    <t>36</t>
  </si>
  <si>
    <t>KLOC - Lines of Code; Code Owned by Time; Committed Source Lines of Code by Time; Source Lines of Code by Time; Lines Deleted; Lines Inserted; Number of Lines of Code Modified; Engineering Productivity; Commit Count</t>
  </si>
  <si>
    <t>Diff Authoring Time (DAT); PR Authoring Time; Diffs per Engineer (PRs or MRs); Commits Performed by Time; Time Spent per Task; Implementation Time per User Story; Task Completion Time; Coding Time; Time to Commit per LOC Changed</t>
  </si>
  <si>
    <t>501i; 511i</t>
  </si>
  <si>
    <t>A/B Test Throughput</t>
  </si>
  <si>
    <t>Feedback Latency</t>
  </si>
  <si>
    <t>The average time between a developer action (e.g., code push, PR submission, build trigger) and the developer receiving a response (e.g., CI/test results, build status, review comments).</t>
  </si>
  <si>
    <t>Time to Feedback; CI Feedback Time</t>
  </si>
  <si>
    <t>Number of Interruptions</t>
  </si>
  <si>
    <t>Nature of Interruptions</t>
  </si>
  <si>
    <t>MTTR; Mean Time to Resolution; Time to Restore Services</t>
  </si>
  <si>
    <t>The duration needed to lint apps and packages locally or in a pipeline.</t>
  </si>
  <si>
    <t>Deployment Count; Deploy Count; Total Deployments</t>
  </si>
  <si>
    <t>Operational Health and Security Score</t>
  </si>
  <si>
    <t>Post-Submission Edit Ratio</t>
  </si>
  <si>
    <t>Edit Ratio; Pull Request Maturity; Total Number of Changelists</t>
  </si>
  <si>
    <t>The percentage of code changes within a pull request that occur after it has been submitted for review. Aims to minimize back-and-forth during review, enabling quicker, more decisive reviews and faster integration.</t>
  </si>
  <si>
    <t>Relates to code reliability, maintainability, and alignment with user/business outcomes. It may be measured through metrics that assess both technical rigor and real-world impact, emphasizing sustainable practices over superficial outputs. Usually highly company-specific implementation.</t>
  </si>
  <si>
    <t>Employee Retention Rate</t>
  </si>
  <si>
    <t>Revenue Growth Rate</t>
  </si>
  <si>
    <t>Measures the growth of revenue, such as year over year.</t>
  </si>
  <si>
    <t>A composite reliability measure covering availability (uptime %), latency (response time percentiles), performance, and scalability (behavior under load). DORA's original 2021 methodology measured this via self-rated survey ('are you meeting your reliability targets?'), but the underlying components can also be tracked quantitatively via system telemetry.</t>
  </si>
  <si>
    <t>95</t>
  </si>
  <si>
    <t>Availability; Latency; Performance; Scalability</t>
  </si>
  <si>
    <t>Tool Sentiment Score</t>
  </si>
  <si>
    <t>131k; 511i</t>
  </si>
  <si>
    <t>Code Coverage Percent</t>
  </si>
  <si>
    <t>Service Uptime Percentage</t>
  </si>
  <si>
    <t>Percentage of Inactive AI Licenses</t>
  </si>
  <si>
    <t>Rework Rate</t>
  </si>
  <si>
    <t>Monitors AI being built into products, not just used by developer throughout the SLDC.</t>
  </si>
  <si>
    <t>501b; 501a; 131k; 131j</t>
  </si>
  <si>
    <t>75; 109</t>
  </si>
  <si>
    <t>Measures the percentage of time services and apps are available/operational, and the rate of production incidents (outages, change failures, time-to-recovery): the system's track record of staying up and recovering quickly. An improved rate reduces time teams spend addressing bugs and outages, increasing operational efficiency.</t>
  </si>
  <si>
    <t>95; 65</t>
  </si>
  <si>
    <t>Stability; Stability of Services; Stability of Apps; Production Incidents; Production Downtime; System Uptime; Availability</t>
  </si>
  <si>
    <t>Reliability Score</t>
  </si>
  <si>
    <t>506</t>
  </si>
  <si>
    <t>Evaluates the alignment of workforce skills with technical/domain/operational needs; identifies gaps constraining delivery or innovation.</t>
  </si>
  <si>
    <t>Measures the rate/volume of upskilling and cross-training activity (e.g., courses completed, certifications, AI-accelerated learning) within the organization.</t>
  </si>
  <si>
    <t>112</t>
  </si>
  <si>
    <t>113</t>
  </si>
  <si>
    <t>Upskilling Rate</t>
  </si>
  <si>
    <t>Measures the rate of work completion — the volume of task units (e.g., story points, function points, requirements) completed per individual or team, typically tracked per sprint or time period, and optionally expressed as a percentage of planned work completed.</t>
  </si>
  <si>
    <t>Task Completion Rate; Story Points Completed; Function Points; Completion Percentage / Completion Time; Average Number of UFPs Completed; Story Points per Sprnt; Function Points per Month; Product Delivery Rate; Number of Requirements Met; Completed Goals to Planned Goals Ratio; Sprint Burndown Rates</t>
  </si>
  <si>
    <t>Assesses how well a team communicates and coordinates, typically via signals such as code review turnaround, cross-team contribution patterns, response/communication latency, or async documentation practices — often supplemented by self-reported survey scores rather than a single quantitative figure.</t>
  </si>
  <si>
    <t>Cross-team Contribution Rate; Communication Responsiveness</t>
  </si>
  <si>
    <t>17; 121</t>
  </si>
  <si>
    <t>202a; 511i; 511l; 183a; 501h</t>
  </si>
  <si>
    <t>514; 505; 506; 508; 9; 160; 202; 146; 501</t>
  </si>
  <si>
    <t>Lead time; Lead Time for Changes; Deployment Time; Time from Commit to Deploy</t>
  </si>
  <si>
    <t>Value-Added Time vs. Wait Time</t>
  </si>
  <si>
    <t>Per the SPACE framework, decomposes the time work spends in a system into value-added time (actively being worked on) and wait time (idle — in queues, blocked, or awaiting handoff), distinguishing productive flow from delay.</t>
  </si>
  <si>
    <t>62</t>
  </si>
  <si>
    <t>Value-Added Time; Wait Time</t>
  </si>
  <si>
    <t>83</t>
  </si>
  <si>
    <t>Time to Release; Feature Delivery Time</t>
  </si>
  <si>
    <t>Measures the duration from the initial conception of a feature to its availability for end-users.</t>
  </si>
  <si>
    <t>Number of Comments; PR Review Comments and Requests for Changes</t>
  </si>
  <si>
    <t>17; 121; 92; 129; 154</t>
  </si>
  <si>
    <t>Delivery Throughput; Weekly Number of Diffs; Weekly Number of PRs; Number of Changes</t>
  </si>
  <si>
    <t>Lost Time, Percentage Time Lost to Obstacles</t>
  </si>
  <si>
    <t>Quantifies the percentage (or hours) of developer time lost each week to obstacles in the work environment (e.g., unclear requirements, excessive meetings, context switching, or technical debt) typically collected via self-reported survey. Often expressed as a cost (translatable into engineering-dollar terms) to make the impact tangible to business stakeholders.</t>
  </si>
  <si>
    <t>Defect Resolution Time</t>
  </si>
  <si>
    <t>Bug Resolution Time</t>
  </si>
  <si>
    <t>96</t>
  </si>
  <si>
    <t>Measures the time taken to resolve a reported defect, from identification to fix.</t>
  </si>
  <si>
    <t>26; 29; 42; 70; 134</t>
  </si>
  <si>
    <t>23; 70; 26; 29; 42; 133</t>
  </si>
  <si>
    <t>Bug Fixing Contribution Percentage</t>
  </si>
  <si>
    <t>21</t>
  </si>
  <si>
    <t>Quantifies the percentage of a developer's commits made on bug-fixing tasks, relative to the rest of the team.</t>
  </si>
  <si>
    <t>134</t>
  </si>
  <si>
    <t>Number of Issues Logged; Number of Bugs Post Release; Bugs Fixed; Introduced Bugs; Priority Tickets/Bugs Undertaken Mid-Sprint</t>
  </si>
  <si>
    <t>232; 232a</t>
  </si>
  <si>
    <t>9; 235; 21</t>
  </si>
  <si>
    <t>26; 29; 42; 133</t>
  </si>
  <si>
    <t>Defect Rate</t>
  </si>
  <si>
    <t>508; 9; 101</t>
  </si>
  <si>
    <t>26; 29; 70; 133</t>
  </si>
  <si>
    <t>Defects per Function Point; Defect Density; Weighted Defects</t>
  </si>
  <si>
    <t>236; 520; 92</t>
  </si>
  <si>
    <t>Measures defect density: the number of errors or failures normalized by a size unit (e.g., function points), sometimes severity-weighted, indicating codebase quality independent of project size.</t>
  </si>
  <si>
    <t>80; 29; 42; 133</t>
  </si>
  <si>
    <t>AI usage intensity; AI usage events; % of developers using AI chat features; AI model usage; AI developer tool adoption; daily active AI users; weekly active AI users; monthly active AI users</t>
  </si>
  <si>
    <t>Cost per Function Point</t>
  </si>
  <si>
    <t>Investment in Progress; Cost per FP</t>
  </si>
  <si>
    <t>The percentage of AI-generated code suggestions that a developer accepts and keeps in their codebase, calculated as (suggestions accepted ÷ total suggestions shown) × 100.</t>
  </si>
  <si>
    <t>Percentage capacity worked per AI tool; Agent hourly rate</t>
  </si>
  <si>
    <t>AI trust, AI change confidence</t>
  </si>
  <si>
    <t>AI Time Savings</t>
  </si>
  <si>
    <t>Change Confidence Score</t>
  </si>
  <si>
    <t>Definition: "Developers' self-reported confidence that a code change won't break production, typically gathered via survey and used alongside change failure rate as a qualitative counterbalance to quantitative reliability metrics.</t>
  </si>
  <si>
    <t>Developer Friction Score</t>
  </si>
  <si>
    <t>Ease of Tool Access; Ease of Application Access</t>
  </si>
  <si>
    <t>A self-reported rating or open-text response of the obstacles, delays, or friction developers encounter in their daily lives, e.g. from accessing tools, applicatiosn or completing workflow tasks.</t>
  </si>
  <si>
    <t>Deployment Rework Rate</t>
  </si>
  <si>
    <t>Ease of Code Review</t>
  </si>
  <si>
    <t>Ease of Peer Review</t>
  </si>
  <si>
    <t>Perceived ease and effort to perform a Pull Request (PR).</t>
  </si>
  <si>
    <t>Code Ownership</t>
  </si>
  <si>
    <t>The ratio of deployments that are unplanned but happen as a result of an incident in production.</t>
  </si>
  <si>
    <t>Design Docs per Developer</t>
  </si>
  <si>
    <t>Number of Design Docs Generated per Developer</t>
  </si>
  <si>
    <t>Percentage of Product Features Incorporating AI; Percentage of AI Adoption in Products</t>
  </si>
  <si>
    <t>AI Product Adoption Rate</t>
  </si>
  <si>
    <t>Acceptance rate of AI Suggestions</t>
  </si>
  <si>
    <t>Number of Unused AI Licenses</t>
  </si>
  <si>
    <t>AI Power Users</t>
  </si>
  <si>
    <t>Code Reviews per Developer</t>
  </si>
  <si>
    <t>Service Readiness Score</t>
  </si>
  <si>
    <t>Regrettable Attrition Rate</t>
  </si>
  <si>
    <t>Deployments per Developer</t>
  </si>
  <si>
    <t>CSAT; Customer Experience; Customer Satisfaction; Customer Satisfaction Scores; User/customer satisfaction; NPS</t>
  </si>
  <si>
    <t>Customer Satisfaction Score</t>
  </si>
  <si>
    <t>Velocity Index Benchmark</t>
  </si>
  <si>
    <t>Contribution Volume</t>
  </si>
  <si>
    <t>AI Suggestion Acceptance Rate</t>
  </si>
  <si>
    <t>AI-Assisted PR Rate</t>
  </si>
  <si>
    <t>AI-Written Code Share</t>
  </si>
  <si>
    <t>155; 162</t>
  </si>
  <si>
    <t>Bad Developer Days</t>
  </si>
  <si>
    <t>522</t>
  </si>
  <si>
    <t>A composite telemetry metric counting the share of developer-days affected by friction events such as context switching, build failures, incident response, or compliance overhead.</t>
  </si>
  <si>
    <t>Hard</t>
  </si>
  <si>
    <t>36; 10</t>
  </si>
  <si>
    <t>https://arxiv.org/pdf/2605.04259</t>
  </si>
  <si>
    <t>514; 5; 160; 501; 115; 146; 183; 522</t>
  </si>
  <si>
    <t>503; 501; 183; 522</t>
  </si>
  <si>
    <t>501; 183; 522</t>
  </si>
  <si>
    <t>503; 9; 17; 5; 115; 501; 115; 183; 182; 512; 522</t>
  </si>
  <si>
    <t>5; 501; 115; 183; 522</t>
  </si>
  <si>
    <t>Microsoft EngThrive Framework</t>
  </si>
  <si>
    <t>501l;  501a;  202a; 501m; 501i; 501f; 501h; 170; 501d; 6a; 510; 511a; 511b; 511d; 511f; 511j; 511k; 511l; 511n; 511q; 511c; 511e; 511g; 511h; 511m; 511n; 511r</t>
  </si>
  <si>
    <t>CSAT; DSAT; NSAT; Satisfaction Score; Developer Sentiment; Developer Satisfaction; Employee satisfaction; Net User Satisfaction; Satisfaction with Engineering System; Platform and Tool Satisfaction; AI tool CSAT</t>
  </si>
  <si>
    <t>501g; 510</t>
  </si>
  <si>
    <t>Produced Output</t>
  </si>
  <si>
    <t>Product Quality</t>
  </si>
  <si>
    <t>Review Process</t>
  </si>
  <si>
    <t>501m; 131e</t>
  </si>
  <si>
    <t>504; 214; 6; 501; 183; 503</t>
  </si>
  <si>
    <t>9; 36; 52; 62; 243; 244; 160; 501; 183; 512</t>
  </si>
  <si>
    <t>James (2024)</t>
  </si>
  <si>
    <t>https://www.researchgate.net/profile/Charles-James-16/publication/385353040_Assessing_Developer_Productivity_and_Error_Reduction_with_TDD_and_BDD_Metrics/links/67218c1277f274616d50507b/Assessing-Developer-Productivity-and-Error-Reduction-with-TDD-and-BDD-Metrics.pdf</t>
  </si>
  <si>
    <t>https://dl.acm.org/doi/10.1145/3847122</t>
  </si>
  <si>
    <t>523</t>
  </si>
  <si>
    <t>Brandebusemeyer (2026)</t>
  </si>
  <si>
    <t>504; 11; 96; 214; 513; 517b; 523</t>
  </si>
  <si>
    <t>5; 160; 501; 19; 39; 523</t>
  </si>
  <si>
    <t>514; 506;  503; 43; 96; 202; 235; 5; 6; 160; 501; 131; 183; 146; 512; 520; 522; 523</t>
  </si>
  <si>
    <t>506; 9; 13; 15; 45; 87; 233; 235; 236; 237; 238; 513; 523</t>
  </si>
  <si>
    <t>Is an estimate of maintenance burden in codebase. It expresses the cost of fixing existing technical debt as a proportion of the total cost of developing the software (i.e. remediation cost ÷ development cost).</t>
  </si>
  <si>
    <t>Technical Debt; Time Spent Remediating Techical Debt; Tech Debt</t>
  </si>
  <si>
    <t>163</t>
  </si>
  <si>
    <t>Cognitive Debt Ratio</t>
  </si>
  <si>
    <t>524a</t>
  </si>
  <si>
    <t>524b</t>
  </si>
  <si>
    <t>https://www.sonarsource.com/resources/library/measuring-and-identifying-code-level-technical-debt-a-practical-guide/</t>
  </si>
  <si>
    <t>https://getdx.com/blog/technical-debt-ratio/</t>
  </si>
  <si>
    <t>Reference-for-Implementation</t>
  </si>
  <si>
    <t>70; 131; 524a; 524b</t>
  </si>
  <si>
    <t>https://arxiv.org/abs/2603.22106</t>
  </si>
  <si>
    <t>Storey (2026)</t>
  </si>
  <si>
    <t>525a; 525b</t>
  </si>
  <si>
    <t>https://dl.acm.org/doi/10.1145/3794763.3794804</t>
  </si>
  <si>
    <t>525b</t>
  </si>
  <si>
    <t>525a</t>
  </si>
  <si>
    <t>Alakmeh (2026)</t>
  </si>
  <si>
    <t>Comprehension Debt; Shared Understanding Erosion</t>
  </si>
  <si>
    <t>116; 20</t>
  </si>
  <si>
    <t>A construct (not yet a validated metric) describing the team- and project-level erosion of shared understanding of a software system over time, as the mental models developers rely on to reason about and safely change the system become inadequate. No agreed measurement exists yet. Candidate signals proposed in research include low bus factor / knowledge concentration, slow onboarding, resistance to change, and the gap between code developers can produce with AI and what they genuinely understand ("comprehension debt").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</si>
</sst>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000000"/>
      <name val="Aptos Narrow"/>
      <family val="2"/>
    </font>
    <font>
      <sz val="11"/>
      <color rgb="FF000000"/>
      <name val="Calibri"/>
      <family val="2"/>
      <scheme val="minor"/>
    </font>
    <font>
      <strike/>
      <sz val="11"/>
      <color theme="1"/>
      <name val="Calibri"/>
      <family val="2"/>
      <scheme val="minor"/>
    </font>
    <font>
      <sz val="8"/>
      <name val="Calibri"/>
      <family val="2"/>
      <scheme val="minor"/>
    </font>
    <font>
      <u/>
      <sz val="11"/>
      <color theme="1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9"/>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32">
    <xf numFmtId="0" fontId="0" fillId="0" borderId="0" xfId="0"/>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0" fillId="0" borderId="0" xfId="0" applyAlignment="1">
      <alignment vertical="top" wrapText="1"/>
    </xf>
    <xf numFmtId="0" fontId="2" fillId="0" borderId="0" xfId="0" applyFont="1" applyAlignment="1">
      <alignment vertical="top" wrapText="1"/>
    </xf>
    <xf numFmtId="0" fontId="0" fillId="0" borderId="0" xfId="0" quotePrefix="1" applyAlignment="1">
      <alignment vertical="top" wrapText="1"/>
    </xf>
    <xf numFmtId="0" fontId="3" fillId="0" borderId="0" xfId="0" applyFont="1" applyAlignment="1">
      <alignment vertical="top" wrapText="1"/>
    </xf>
    <xf numFmtId="0" fontId="0" fillId="0" borderId="0" xfId="0" applyAlignment="1">
      <alignment wrapText="1"/>
    </xf>
    <xf numFmtId="0" fontId="4" fillId="0" borderId="0" xfId="0" applyFont="1"/>
    <xf numFmtId="49" fontId="0" fillId="0" borderId="0" xfId="0" applyNumberFormat="1"/>
    <xf numFmtId="49" fontId="1" fillId="0" borderId="0" xfId="0" applyNumberFormat="1" applyFont="1" applyAlignment="1">
      <alignment vertical="top" wrapText="1"/>
    </xf>
    <xf numFmtId="49" fontId="0" fillId="0" borderId="0" xfId="0" applyNumberFormat="1" applyAlignment="1">
      <alignment vertical="top"/>
    </xf>
    <xf numFmtId="49" fontId="0" fillId="0" borderId="0" xfId="0" applyNumberFormat="1" applyAlignment="1">
      <alignment vertical="top" wrapText="1"/>
    </xf>
    <xf numFmtId="49" fontId="0" fillId="0" borderId="0" xfId="0" applyNumberFormat="1" applyAlignment="1">
      <alignment wrapText="1"/>
    </xf>
    <xf numFmtId="49" fontId="1" fillId="0" borderId="0" xfId="0" applyNumberFormat="1" applyFont="1" applyAlignment="1">
      <alignment vertical="top"/>
    </xf>
    <xf numFmtId="49" fontId="1" fillId="0" borderId="0" xfId="0" applyNumberFormat="1" applyFont="1"/>
    <xf numFmtId="0" fontId="6" fillId="0" borderId="0" xfId="1" applyAlignment="1">
      <alignment wrapText="1"/>
    </xf>
    <xf numFmtId="0" fontId="0" fillId="2" borderId="0" xfId="0" applyFill="1" applyAlignment="1">
      <alignment vertical="top"/>
    </xf>
    <xf numFmtId="0" fontId="1" fillId="2" borderId="0" xfId="0" applyFont="1" applyFill="1" applyAlignment="1">
      <alignment vertical="top"/>
    </xf>
    <xf numFmtId="0" fontId="0" fillId="2" borderId="0" xfId="0" applyFill="1" applyAlignment="1">
      <alignment vertical="top" wrapText="1"/>
    </xf>
    <xf numFmtId="0" fontId="2" fillId="2" borderId="0" xfId="0" applyFont="1" applyFill="1" applyAlignment="1">
      <alignment vertical="top"/>
    </xf>
    <xf numFmtId="0" fontId="2" fillId="2" borderId="0" xfId="0" applyFont="1" applyFill="1" applyAlignment="1">
      <alignment vertical="top" wrapText="1"/>
    </xf>
    <xf numFmtId="0" fontId="3" fillId="2" borderId="0" xfId="0" applyFont="1" applyFill="1" applyAlignment="1">
      <alignment vertical="top"/>
    </xf>
    <xf numFmtId="0" fontId="2" fillId="0" borderId="0" xfId="0" applyFont="1" applyAlignment="1">
      <alignment vertical="top"/>
    </xf>
    <xf numFmtId="0" fontId="6" fillId="0" borderId="0" xfId="1"/>
    <xf numFmtId="0" fontId="0" fillId="3" borderId="0" xfId="0" applyFill="1" applyAlignment="1">
      <alignment vertical="top"/>
    </xf>
    <xf numFmtId="0" fontId="0" fillId="4" borderId="0" xfId="0" applyFill="1" applyAlignment="1">
      <alignment vertical="top"/>
    </xf>
    <xf numFmtId="0" fontId="0" fillId="4" borderId="0" xfId="0" applyFill="1" applyAlignment="1">
      <alignment vertical="top" wrapText="1"/>
    </xf>
    <xf numFmtId="49" fontId="0" fillId="2" borderId="0" xfId="0" applyNumberFormat="1" applyFill="1" applyAlignment="1">
      <alignment wrapText="1"/>
    </xf>
    <xf numFmtId="0" fontId="0" fillId="2" borderId="0" xfId="0" applyFill="1"/>
    <xf numFmtId="0" fontId="0" fillId="0" borderId="0" xfId="0" applyFill="1" applyAlignment="1">
      <alignment vertical="top"/>
    </xf>
  </cellXfs>
  <cellStyles count="2">
    <cellStyle name="Hyperlink" xfId="1" builtinId="8"/>
    <cellStyle name="Normal" xfId="0" builtinId="0"/>
  </cellStyles>
  <dxfs count="42">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researchgate.net/profile/Charles-James-16/publication/385353040_Assessing_Developer_Productivity_and_Error_Reduction_with_TDD_and_BDD_Metrics/links/67218c1277f274616d50507b/Assessing-Developer-Productivity-and-Error-Reduction-with-TDD-and-BDD-Metrics.pdf" TargetMode="External"/><Relationship Id="rId2" Type="http://schemas.openxmlformats.org/officeDocument/2006/relationships/hyperlink" Target="https://www.gitpod.io/blog/20-most-popular-developer-productivity-metrics" TargetMode="External"/><Relationship Id="rId1" Type="http://schemas.openxmlformats.org/officeDocument/2006/relationships/hyperlink" Target="https://www.mckinsey.com/industries/technology-media-and-telecommunications/our-insights/yes-you-can-measure-software-developer-productivity" TargetMode="Externa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37"/>
  <sheetViews>
    <sheetView tabSelected="1" zoomScaleNormal="100" workbookViewId="0">
      <pane xSplit="2" ySplit="1" topLeftCell="C110" activePane="bottomRight" state="frozen"/>
      <selection pane="topRight" activeCell="C1" sqref="C1"/>
      <selection pane="bottomLeft" activeCell="A2" sqref="A2"/>
      <selection pane="bottomRight" activeCell="F124" sqref="F124"/>
    </sheetView>
  </sheetViews>
  <sheetFormatPr defaultColWidth="9.140625" defaultRowHeight="15" x14ac:dyDescent="0.25"/>
  <cols>
    <col min="1" max="1" width="9.140625" style="3"/>
    <col min="2" max="2" width="36.5703125" style="18" bestFit="1" customWidth="1"/>
    <col min="3" max="3" width="36.5703125" style="4" customWidth="1"/>
    <col min="4" max="4" width="36.5703125" style="12" customWidth="1"/>
    <col min="5" max="5" width="40.28515625" style="13" customWidth="1"/>
    <col min="6" max="6" width="54.5703125" style="3" customWidth="1"/>
    <col min="7" max="7" width="31.7109375" style="3" customWidth="1"/>
    <col min="8" max="9" width="17.85546875" style="3" customWidth="1"/>
    <col min="10" max="13" width="28.42578125" style="3" customWidth="1"/>
    <col min="14" max="15" width="9.140625" style="3"/>
    <col min="16" max="16" width="18.7109375" style="12" bestFit="1" customWidth="1"/>
    <col min="17" max="17" width="30.7109375" style="12" customWidth="1"/>
    <col min="18" max="18" width="16.85546875" bestFit="1" customWidth="1"/>
    <col min="19" max="19" width="15.140625" style="12" bestFit="1" customWidth="1"/>
    <col min="20" max="16384" width="9.140625" style="3"/>
  </cols>
  <sheetData>
    <row r="1" spans="1:19" s="1" customFormat="1" x14ac:dyDescent="0.25">
      <c r="A1" s="1" t="s">
        <v>0</v>
      </c>
      <c r="B1" s="19" t="s">
        <v>1</v>
      </c>
      <c r="C1" s="2" t="s">
        <v>2</v>
      </c>
      <c r="D1" s="11" t="s">
        <v>158</v>
      </c>
      <c r="E1" s="11" t="s">
        <v>159</v>
      </c>
      <c r="F1" s="2" t="s">
        <v>3</v>
      </c>
      <c r="G1" s="1" t="s">
        <v>514</v>
      </c>
      <c r="H1" s="1" t="s">
        <v>4</v>
      </c>
      <c r="I1" s="2" t="s">
        <v>5</v>
      </c>
      <c r="J1" s="1" t="s">
        <v>6</v>
      </c>
      <c r="K1" s="1" t="s">
        <v>7</v>
      </c>
      <c r="L1" s="1" t="s">
        <v>8</v>
      </c>
      <c r="M1" s="1" t="s">
        <v>364</v>
      </c>
      <c r="N1" s="1" t="s">
        <v>365</v>
      </c>
      <c r="O1" s="1" t="s">
        <v>367</v>
      </c>
      <c r="P1" s="15" t="s">
        <v>438</v>
      </c>
      <c r="Q1" s="15" t="s">
        <v>505</v>
      </c>
      <c r="R1" s="1" t="s">
        <v>510</v>
      </c>
      <c r="S1" s="15" t="s">
        <v>432</v>
      </c>
    </row>
    <row r="2" spans="1:19" ht="75" x14ac:dyDescent="0.25">
      <c r="A2" s="3">
        <v>2</v>
      </c>
      <c r="B2" s="18" t="s">
        <v>12</v>
      </c>
      <c r="C2" s="4" t="s">
        <v>13</v>
      </c>
      <c r="D2" s="12" t="s">
        <v>437</v>
      </c>
      <c r="E2" s="13" t="s">
        <v>503</v>
      </c>
      <c r="F2" s="4" t="s">
        <v>14</v>
      </c>
      <c r="G2" s="3" t="s">
        <v>517</v>
      </c>
      <c r="H2" s="3" t="s">
        <v>15</v>
      </c>
      <c r="I2" s="3">
        <f>VLOOKUP(H2,cardsort_group_IDs!A:B,2,0)</f>
        <v>204</v>
      </c>
      <c r="J2" s="3" t="s">
        <v>16</v>
      </c>
      <c r="K2" s="3">
        <f>VLOOKUP(J2,cardsort_subgroup_IDs!A:B,2,0)</f>
        <v>327</v>
      </c>
      <c r="L2" s="3">
        <f>IF(E2="-",0,1)+IF(D2="-",0,2)</f>
        <v>3</v>
      </c>
      <c r="M2" s="3">
        <f t="shared" ref="M2:M30" si="0">IF(D2="-",0,LEN(D2)-LEN(SUBSTITUTE(D2,";",""))+1)</f>
        <v>19</v>
      </c>
      <c r="N2" s="3">
        <f t="shared" ref="N2:N30" si="1">IF(E2="-",0,LEN(E2)-LEN(SUBSTITUTE(E2,";",""))+1)</f>
        <v>4</v>
      </c>
      <c r="O2" s="3">
        <f>SUM(M2:N2)</f>
        <v>23</v>
      </c>
      <c r="P2" s="12" t="s">
        <v>436</v>
      </c>
      <c r="Q2" s="12" t="s">
        <v>506</v>
      </c>
      <c r="R2" t="s">
        <v>511</v>
      </c>
      <c r="S2" s="12" t="s">
        <v>504</v>
      </c>
    </row>
    <row r="3" spans="1:19" x14ac:dyDescent="0.25">
      <c r="A3" s="3">
        <v>4</v>
      </c>
      <c r="B3" s="18" t="s">
        <v>18</v>
      </c>
      <c r="C3" s="4" t="s">
        <v>9</v>
      </c>
      <c r="D3" s="13">
        <v>201</v>
      </c>
      <c r="E3" s="13" t="s">
        <v>9</v>
      </c>
      <c r="F3" s="4" t="s">
        <v>20</v>
      </c>
      <c r="G3" s="3" t="s">
        <v>517</v>
      </c>
      <c r="H3" s="3" t="s">
        <v>21</v>
      </c>
      <c r="I3" s="3">
        <f>VLOOKUP(H3,cardsort_group_IDs!A:B,2,0)</f>
        <v>202</v>
      </c>
      <c r="J3" s="3" t="s">
        <v>22</v>
      </c>
      <c r="K3" s="3">
        <f>VLOOKUP(J3,cardsort_subgroup_IDs!A:B,2,0)</f>
        <v>303</v>
      </c>
      <c r="L3" s="3">
        <f>IF(E3="-",0,1)+IF(D3="-",0,2)</f>
        <v>2</v>
      </c>
      <c r="M3" s="3">
        <f t="shared" si="0"/>
        <v>1</v>
      </c>
      <c r="N3" s="3">
        <f t="shared" si="1"/>
        <v>0</v>
      </c>
      <c r="O3" s="3">
        <f t="shared" ref="O3:O55" si="2">SUM(M3:N3)</f>
        <v>1</v>
      </c>
      <c r="P3" s="12" t="s">
        <v>436</v>
      </c>
      <c r="Q3" s="12" t="s">
        <v>506</v>
      </c>
      <c r="R3" t="s">
        <v>512</v>
      </c>
      <c r="S3" s="12" t="s">
        <v>9</v>
      </c>
    </row>
    <row r="4" spans="1:19" ht="30" x14ac:dyDescent="0.25">
      <c r="A4" s="3">
        <v>9</v>
      </c>
      <c r="B4" s="3" t="s">
        <v>599</v>
      </c>
      <c r="C4" s="4" t="s">
        <v>9</v>
      </c>
      <c r="D4" s="12" t="s">
        <v>571</v>
      </c>
      <c r="E4" s="13" t="s">
        <v>380</v>
      </c>
      <c r="F4" s="5" t="s">
        <v>595</v>
      </c>
      <c r="G4" s="3" t="s">
        <v>517</v>
      </c>
      <c r="H4" s="3" t="s">
        <v>15</v>
      </c>
      <c r="I4" s="3">
        <f>VLOOKUP(H4,cardsort_group_IDs!A:B,2,0)</f>
        <v>204</v>
      </c>
      <c r="J4" s="3" t="s">
        <v>24</v>
      </c>
      <c r="K4" s="3">
        <f>VLOOKUP(J4,cardsort_subgroup_IDs!A:B,2,0)</f>
        <v>306</v>
      </c>
      <c r="L4" s="3">
        <f t="shared" ref="L4:L55" si="3">IF(E4="-",0,1)+IF(D4="-",0,2)</f>
        <v>3</v>
      </c>
      <c r="M4" s="3">
        <f t="shared" si="0"/>
        <v>2</v>
      </c>
      <c r="N4" s="3">
        <f t="shared" si="1"/>
        <v>2</v>
      </c>
      <c r="O4" s="3">
        <f t="shared" si="2"/>
        <v>4</v>
      </c>
      <c r="P4" s="12" t="s">
        <v>436</v>
      </c>
      <c r="Q4" s="12" t="s">
        <v>507</v>
      </c>
      <c r="R4" t="s">
        <v>512</v>
      </c>
      <c r="S4" s="12" t="s">
        <v>597</v>
      </c>
    </row>
    <row r="5" spans="1:19" ht="45" x14ac:dyDescent="0.25">
      <c r="A5" s="3">
        <v>10</v>
      </c>
      <c r="B5" s="3" t="s">
        <v>686</v>
      </c>
      <c r="C5" s="4" t="s">
        <v>9</v>
      </c>
      <c r="D5" s="12" t="s">
        <v>299</v>
      </c>
      <c r="E5" s="13" t="s">
        <v>829</v>
      </c>
      <c r="F5" s="4" t="s">
        <v>25</v>
      </c>
      <c r="G5" s="3" t="s">
        <v>516</v>
      </c>
      <c r="H5" s="3" t="s">
        <v>366</v>
      </c>
      <c r="I5" s="3">
        <f>VLOOKUP(H5,cardsort_group_IDs!A:B,2,0)</f>
        <v>203</v>
      </c>
      <c r="J5" s="3" t="s">
        <v>26</v>
      </c>
      <c r="K5" s="3">
        <f>VLOOKUP(J5,cardsort_subgroup_IDs!A:B,2,0)</f>
        <v>307</v>
      </c>
      <c r="L5" s="3">
        <f t="shared" si="3"/>
        <v>3</v>
      </c>
      <c r="M5" s="3">
        <f t="shared" si="0"/>
        <v>1</v>
      </c>
      <c r="N5" s="3">
        <f t="shared" si="1"/>
        <v>4</v>
      </c>
      <c r="O5" s="3">
        <f t="shared" si="2"/>
        <v>5</v>
      </c>
      <c r="P5" s="12" t="s">
        <v>436</v>
      </c>
      <c r="Q5" s="12" t="s">
        <v>506</v>
      </c>
      <c r="R5" t="s">
        <v>511</v>
      </c>
      <c r="S5" s="12" t="s">
        <v>9</v>
      </c>
    </row>
    <row r="6" spans="1:19" ht="75" x14ac:dyDescent="0.25">
      <c r="A6" s="3">
        <v>11</v>
      </c>
      <c r="B6" s="27" t="s">
        <v>27</v>
      </c>
      <c r="C6" s="4" t="s">
        <v>9</v>
      </c>
      <c r="D6" s="12" t="s">
        <v>9</v>
      </c>
      <c r="E6" s="13">
        <v>183</v>
      </c>
      <c r="F6" s="4" t="s">
        <v>28</v>
      </c>
      <c r="G6" s="3" t="s">
        <v>517</v>
      </c>
      <c r="H6" s="3" t="s">
        <v>10</v>
      </c>
      <c r="I6" s="3">
        <f>VLOOKUP(H6,cardsort_group_IDs!A:B,2,0)</f>
        <v>201</v>
      </c>
      <c r="J6" s="3" t="s">
        <v>17</v>
      </c>
      <c r="K6" s="3">
        <f>VLOOKUP(J6,cardsort_subgroup_IDs!A:B,2,0)</f>
        <v>302</v>
      </c>
      <c r="L6" s="3">
        <f t="shared" si="3"/>
        <v>1</v>
      </c>
      <c r="M6" s="3">
        <f t="shared" si="0"/>
        <v>0</v>
      </c>
      <c r="N6" s="3">
        <f t="shared" si="1"/>
        <v>1</v>
      </c>
      <c r="O6" s="3">
        <f t="shared" si="2"/>
        <v>1</v>
      </c>
      <c r="P6" s="12" t="s">
        <v>436</v>
      </c>
      <c r="Q6" s="12" t="s">
        <v>507</v>
      </c>
      <c r="R6" t="s">
        <v>513</v>
      </c>
      <c r="S6" s="12" t="s">
        <v>9</v>
      </c>
    </row>
    <row r="7" spans="1:19" ht="60" x14ac:dyDescent="0.25">
      <c r="A7" s="3">
        <v>12</v>
      </c>
      <c r="B7" s="3" t="s">
        <v>29</v>
      </c>
      <c r="C7" s="4" t="s">
        <v>585</v>
      </c>
      <c r="D7" s="13" t="s">
        <v>455</v>
      </c>
      <c r="E7" s="13" t="s">
        <v>648</v>
      </c>
      <c r="F7" s="4" t="s">
        <v>586</v>
      </c>
      <c r="G7" s="3" t="s">
        <v>517</v>
      </c>
      <c r="H7" s="3" t="s">
        <v>30</v>
      </c>
      <c r="I7" s="3">
        <f>VLOOKUP(H7,cardsort_group_IDs!A:B,2,0)</f>
        <v>205</v>
      </c>
      <c r="J7" s="3" t="s">
        <v>31</v>
      </c>
      <c r="K7" s="3">
        <f>VLOOKUP(J7,cardsort_subgroup_IDs!A:B,2,0)</f>
        <v>308</v>
      </c>
      <c r="L7" s="3">
        <f t="shared" si="3"/>
        <v>3</v>
      </c>
      <c r="M7" s="3">
        <f t="shared" si="0"/>
        <v>14</v>
      </c>
      <c r="N7" s="3">
        <f t="shared" si="1"/>
        <v>13</v>
      </c>
      <c r="O7" s="3">
        <f t="shared" si="2"/>
        <v>27</v>
      </c>
      <c r="P7" s="12" t="s">
        <v>93</v>
      </c>
      <c r="Q7" s="12" t="s">
        <v>508</v>
      </c>
      <c r="R7" t="s">
        <v>512</v>
      </c>
      <c r="S7" s="12" t="s">
        <v>699</v>
      </c>
    </row>
    <row r="8" spans="1:19" ht="105" x14ac:dyDescent="0.25">
      <c r="A8" s="3">
        <v>13</v>
      </c>
      <c r="B8" s="18" t="s">
        <v>32</v>
      </c>
      <c r="C8" s="4" t="s">
        <v>9</v>
      </c>
      <c r="D8" s="12" t="s">
        <v>683</v>
      </c>
      <c r="E8" s="13" t="s">
        <v>678</v>
      </c>
      <c r="F8" s="4" t="s">
        <v>34</v>
      </c>
      <c r="G8" s="3" t="s">
        <v>517</v>
      </c>
      <c r="H8" s="3" t="s">
        <v>30</v>
      </c>
      <c r="I8" s="3">
        <f>VLOOKUP(H8,cardsort_group_IDs!A:B,2,0)</f>
        <v>205</v>
      </c>
      <c r="J8" s="3" t="s">
        <v>35</v>
      </c>
      <c r="K8" s="3">
        <f>VLOOKUP(J8,cardsort_subgroup_IDs!A:B,2,0)</f>
        <v>309</v>
      </c>
      <c r="L8" s="3">
        <f t="shared" si="3"/>
        <v>3</v>
      </c>
      <c r="M8" s="3">
        <f t="shared" si="0"/>
        <v>1</v>
      </c>
      <c r="N8" s="3">
        <f t="shared" si="1"/>
        <v>1</v>
      </c>
      <c r="O8" s="3">
        <f t="shared" si="2"/>
        <v>2</v>
      </c>
      <c r="P8" s="12" t="s">
        <v>436</v>
      </c>
      <c r="Q8" s="12" t="s">
        <v>508</v>
      </c>
      <c r="R8" t="s">
        <v>511</v>
      </c>
      <c r="S8" s="12" t="s">
        <v>9</v>
      </c>
    </row>
    <row r="9" spans="1:19" ht="60" x14ac:dyDescent="0.25">
      <c r="A9" s="3">
        <v>14</v>
      </c>
      <c r="B9" s="3" t="s">
        <v>36</v>
      </c>
      <c r="C9" s="4" t="s">
        <v>9</v>
      </c>
      <c r="D9" s="12" t="s">
        <v>836</v>
      </c>
      <c r="E9" s="13" t="s">
        <v>682</v>
      </c>
      <c r="F9" s="4" t="s">
        <v>37</v>
      </c>
      <c r="G9" s="3" t="s">
        <v>517</v>
      </c>
      <c r="H9" s="3" t="s">
        <v>30</v>
      </c>
      <c r="I9" s="3">
        <f>VLOOKUP(H9,cardsort_group_IDs!A:B,2,0)</f>
        <v>205</v>
      </c>
      <c r="J9" s="3" t="s">
        <v>31</v>
      </c>
      <c r="K9" s="3">
        <f>VLOOKUP(J9,cardsort_subgroup_IDs!A:B,2,0)</f>
        <v>308</v>
      </c>
      <c r="L9" s="3">
        <f t="shared" si="3"/>
        <v>3</v>
      </c>
      <c r="M9" s="3">
        <f t="shared" si="0"/>
        <v>2</v>
      </c>
      <c r="N9" s="3">
        <f t="shared" si="1"/>
        <v>2</v>
      </c>
      <c r="O9" s="3">
        <f t="shared" si="2"/>
        <v>4</v>
      </c>
      <c r="P9" s="12" t="s">
        <v>436</v>
      </c>
      <c r="Q9" s="12" t="s">
        <v>508</v>
      </c>
      <c r="R9" t="s">
        <v>512</v>
      </c>
      <c r="S9" s="12" t="s">
        <v>9</v>
      </c>
    </row>
    <row r="10" spans="1:19" ht="45" x14ac:dyDescent="0.25">
      <c r="A10" s="3">
        <v>15</v>
      </c>
      <c r="B10" s="3" t="s">
        <v>607</v>
      </c>
      <c r="C10" s="4" t="s">
        <v>606</v>
      </c>
      <c r="D10" s="12" t="s">
        <v>605</v>
      </c>
      <c r="E10" s="13" t="s">
        <v>682</v>
      </c>
      <c r="F10" s="4" t="s">
        <v>608</v>
      </c>
      <c r="G10" s="3" t="s">
        <v>517</v>
      </c>
      <c r="H10" s="3" t="s">
        <v>15</v>
      </c>
      <c r="I10" s="3">
        <f>VLOOKUP(H10,cardsort_group_IDs!A:B,2,0)</f>
        <v>204</v>
      </c>
      <c r="J10" s="3" t="s">
        <v>24</v>
      </c>
      <c r="K10" s="3">
        <f>VLOOKUP(J10,cardsort_subgroup_IDs!A:B,2,0)</f>
        <v>306</v>
      </c>
      <c r="L10" s="3">
        <f t="shared" si="3"/>
        <v>3</v>
      </c>
      <c r="M10" s="3">
        <f t="shared" si="0"/>
        <v>3</v>
      </c>
      <c r="N10" s="3">
        <f t="shared" si="1"/>
        <v>2</v>
      </c>
      <c r="O10" s="3">
        <f t="shared" si="2"/>
        <v>5</v>
      </c>
      <c r="P10" s="12" t="s">
        <v>436</v>
      </c>
      <c r="Q10" s="12" t="s">
        <v>506</v>
      </c>
      <c r="R10" t="s">
        <v>512</v>
      </c>
      <c r="S10" s="12" t="s">
        <v>9</v>
      </c>
    </row>
    <row r="11" spans="1:19" ht="30" x14ac:dyDescent="0.25">
      <c r="A11" s="3">
        <v>16</v>
      </c>
      <c r="B11" s="18" t="s">
        <v>38</v>
      </c>
      <c r="C11" s="4" t="s">
        <v>9</v>
      </c>
      <c r="D11" s="12" t="s">
        <v>840</v>
      </c>
      <c r="E11" s="13" t="s">
        <v>305</v>
      </c>
      <c r="F11" s="4" t="s">
        <v>39</v>
      </c>
      <c r="G11" s="3" t="s">
        <v>517</v>
      </c>
      <c r="H11" s="3" t="s">
        <v>30</v>
      </c>
      <c r="I11" s="3">
        <f>VLOOKUP(H11,cardsort_group_IDs!A:B,2,0)</f>
        <v>205</v>
      </c>
      <c r="J11" s="3" t="s">
        <v>40</v>
      </c>
      <c r="K11" s="3">
        <f>VLOOKUP(J11,cardsort_subgroup_IDs!A:B,2,0)</f>
        <v>310</v>
      </c>
      <c r="L11" s="3">
        <f t="shared" si="3"/>
        <v>3</v>
      </c>
      <c r="M11" s="3">
        <f t="shared" si="0"/>
        <v>2</v>
      </c>
      <c r="N11" s="3">
        <f t="shared" si="1"/>
        <v>3</v>
      </c>
      <c r="O11" s="3">
        <f t="shared" si="2"/>
        <v>5</v>
      </c>
      <c r="P11" s="12" t="s">
        <v>436</v>
      </c>
      <c r="Q11" s="12" t="s">
        <v>508</v>
      </c>
      <c r="R11" t="s">
        <v>512</v>
      </c>
      <c r="S11" s="12" t="s">
        <v>9</v>
      </c>
    </row>
    <row r="12" spans="1:19" ht="45" x14ac:dyDescent="0.25">
      <c r="A12" s="3">
        <v>17</v>
      </c>
      <c r="B12" s="18" t="s">
        <v>687</v>
      </c>
      <c r="C12" s="4" t="s">
        <v>688</v>
      </c>
      <c r="D12" s="13" t="s">
        <v>572</v>
      </c>
      <c r="E12" s="13" t="s">
        <v>684</v>
      </c>
      <c r="F12" s="4" t="s">
        <v>41</v>
      </c>
      <c r="G12" s="3" t="s">
        <v>517</v>
      </c>
      <c r="H12" s="3" t="s">
        <v>42</v>
      </c>
      <c r="I12" s="3">
        <f>VLOOKUP(H12,cardsort_group_IDs!A:B,2,0)</f>
        <v>206</v>
      </c>
      <c r="J12" s="3" t="s">
        <v>839</v>
      </c>
      <c r="K12" s="3">
        <f>VLOOKUP(J12,cardsort_subgroup_IDs!A:B,2,0)</f>
        <v>311</v>
      </c>
      <c r="L12" s="3">
        <f t="shared" si="3"/>
        <v>3</v>
      </c>
      <c r="M12" s="3">
        <f t="shared" si="0"/>
        <v>5</v>
      </c>
      <c r="N12" s="3">
        <f t="shared" si="1"/>
        <v>6</v>
      </c>
      <c r="O12" s="3">
        <f t="shared" si="2"/>
        <v>11</v>
      </c>
      <c r="P12" s="12" t="s">
        <v>436</v>
      </c>
      <c r="Q12" s="12" t="s">
        <v>507</v>
      </c>
      <c r="R12" t="s">
        <v>512</v>
      </c>
      <c r="S12" s="12" t="s">
        <v>9</v>
      </c>
    </row>
    <row r="13" spans="1:19" ht="30" x14ac:dyDescent="0.25">
      <c r="A13" s="3">
        <v>18</v>
      </c>
      <c r="B13" s="18" t="s">
        <v>43</v>
      </c>
      <c r="C13" s="4" t="s">
        <v>470</v>
      </c>
      <c r="D13" s="12" t="s">
        <v>471</v>
      </c>
      <c r="E13" s="13" t="s">
        <v>649</v>
      </c>
      <c r="F13" s="4" t="s">
        <v>44</v>
      </c>
      <c r="G13" s="3" t="s">
        <v>517</v>
      </c>
      <c r="H13" s="3" t="s">
        <v>30</v>
      </c>
      <c r="I13" s="3">
        <f>VLOOKUP(H13,cardsort_group_IDs!A:B,2,0)</f>
        <v>205</v>
      </c>
      <c r="J13" s="3" t="s">
        <v>40</v>
      </c>
      <c r="K13" s="3">
        <f>VLOOKUP(J13,cardsort_subgroup_IDs!A:B,2,0)</f>
        <v>310</v>
      </c>
      <c r="L13" s="3">
        <f t="shared" si="3"/>
        <v>3</v>
      </c>
      <c r="M13" s="3">
        <f t="shared" si="0"/>
        <v>3</v>
      </c>
      <c r="N13" s="3">
        <f t="shared" si="1"/>
        <v>2</v>
      </c>
      <c r="O13" s="3">
        <f t="shared" si="2"/>
        <v>5</v>
      </c>
      <c r="P13" s="12" t="s">
        <v>93</v>
      </c>
      <c r="Q13" s="12" t="s">
        <v>508</v>
      </c>
      <c r="R13" t="s">
        <v>512</v>
      </c>
      <c r="S13" s="12" t="s">
        <v>9</v>
      </c>
    </row>
    <row r="14" spans="1:19" ht="90" x14ac:dyDescent="0.25">
      <c r="A14" s="3">
        <v>19</v>
      </c>
      <c r="B14" s="3" t="s">
        <v>45</v>
      </c>
      <c r="C14" s="4" t="s">
        <v>702</v>
      </c>
      <c r="D14" s="12" t="s">
        <v>642</v>
      </c>
      <c r="E14" s="13" t="s">
        <v>641</v>
      </c>
      <c r="F14" s="4" t="s">
        <v>689</v>
      </c>
      <c r="G14" s="3" t="s">
        <v>517</v>
      </c>
      <c r="H14" s="3" t="s">
        <v>46</v>
      </c>
      <c r="I14" s="3">
        <f>VLOOKUP(H14,cardsort_group_IDs!A:B,2,0)</f>
        <v>207</v>
      </c>
      <c r="J14" s="3" t="s">
        <v>837</v>
      </c>
      <c r="K14" s="3">
        <f>VLOOKUP(J14,cardsort_subgroup_IDs!A:B,2,0)</f>
        <v>312</v>
      </c>
      <c r="L14" s="3">
        <f t="shared" si="3"/>
        <v>3</v>
      </c>
      <c r="M14" s="3">
        <f t="shared" si="0"/>
        <v>5</v>
      </c>
      <c r="N14" s="3">
        <f t="shared" si="1"/>
        <v>20</v>
      </c>
      <c r="O14" s="3">
        <f t="shared" si="2"/>
        <v>25</v>
      </c>
      <c r="P14" s="12" t="s">
        <v>436</v>
      </c>
      <c r="Q14" s="12" t="s">
        <v>507</v>
      </c>
      <c r="R14" t="s">
        <v>512</v>
      </c>
      <c r="S14" s="12" t="s">
        <v>9</v>
      </c>
    </row>
    <row r="15" spans="1:19" ht="60" x14ac:dyDescent="0.25">
      <c r="A15" s="3">
        <v>20</v>
      </c>
      <c r="B15" s="3" t="s">
        <v>691</v>
      </c>
      <c r="C15" s="4" t="s">
        <v>161</v>
      </c>
      <c r="D15" s="12" t="s">
        <v>9</v>
      </c>
      <c r="E15" s="13" t="s">
        <v>848</v>
      </c>
      <c r="F15" s="4" t="s">
        <v>690</v>
      </c>
      <c r="G15" s="3" t="s">
        <v>516</v>
      </c>
      <c r="H15" s="3" t="s">
        <v>366</v>
      </c>
      <c r="I15" s="3">
        <f>VLOOKUP(H15,cardsort_group_IDs!A:B,2,0)</f>
        <v>203</v>
      </c>
      <c r="J15" s="4" t="s">
        <v>47</v>
      </c>
      <c r="K15" s="3">
        <f>VLOOKUP(J15,cardsort_subgroup_IDs!A:B,2,0)</f>
        <v>313</v>
      </c>
      <c r="L15" s="3">
        <f t="shared" si="3"/>
        <v>1</v>
      </c>
      <c r="M15" s="3">
        <f t="shared" si="0"/>
        <v>0</v>
      </c>
      <c r="N15" s="3">
        <f t="shared" si="1"/>
        <v>7</v>
      </c>
      <c r="O15" s="3">
        <f t="shared" si="2"/>
        <v>7</v>
      </c>
      <c r="P15" s="12" t="s">
        <v>93</v>
      </c>
      <c r="Q15" s="12" t="s">
        <v>506</v>
      </c>
      <c r="R15" t="s">
        <v>513</v>
      </c>
      <c r="S15" s="12" t="s">
        <v>9</v>
      </c>
    </row>
    <row r="16" spans="1:19" ht="45" x14ac:dyDescent="0.25">
      <c r="A16" s="3">
        <v>22</v>
      </c>
      <c r="B16" s="4" t="s">
        <v>692</v>
      </c>
      <c r="C16" s="4" t="s">
        <v>9</v>
      </c>
      <c r="D16" s="12" t="s">
        <v>299</v>
      </c>
      <c r="E16" s="13" t="s">
        <v>301</v>
      </c>
      <c r="F16" s="4" t="s">
        <v>49</v>
      </c>
      <c r="G16" s="3" t="s">
        <v>517</v>
      </c>
      <c r="H16" s="3" t="s">
        <v>15</v>
      </c>
      <c r="I16" s="3">
        <f>VLOOKUP(H16,cardsort_group_IDs!A:B,2,0)</f>
        <v>204</v>
      </c>
      <c r="J16" s="3" t="s">
        <v>16</v>
      </c>
      <c r="K16" s="3">
        <f>VLOOKUP(J16,cardsort_subgroup_IDs!A:B,2,0)</f>
        <v>327</v>
      </c>
      <c r="L16" s="3">
        <f t="shared" si="3"/>
        <v>3</v>
      </c>
      <c r="M16" s="3">
        <f t="shared" si="0"/>
        <v>1</v>
      </c>
      <c r="N16" s="3">
        <f t="shared" si="1"/>
        <v>2</v>
      </c>
      <c r="O16" s="3">
        <f t="shared" si="2"/>
        <v>3</v>
      </c>
      <c r="P16" s="12" t="s">
        <v>436</v>
      </c>
      <c r="Q16" s="12" t="s">
        <v>507</v>
      </c>
      <c r="R16" t="s">
        <v>511</v>
      </c>
      <c r="S16" s="12" t="s">
        <v>9</v>
      </c>
    </row>
    <row r="17" spans="1:19" ht="75" x14ac:dyDescent="0.25">
      <c r="A17" s="3">
        <v>23</v>
      </c>
      <c r="B17" s="24" t="s">
        <v>817</v>
      </c>
      <c r="C17" s="5" t="s">
        <v>162</v>
      </c>
      <c r="D17" s="12" t="s">
        <v>9</v>
      </c>
      <c r="E17" s="13" t="s">
        <v>288</v>
      </c>
      <c r="F17" s="5" t="s">
        <v>693</v>
      </c>
      <c r="G17" s="3" t="s">
        <v>517</v>
      </c>
      <c r="H17" s="3" t="s">
        <v>42</v>
      </c>
      <c r="I17" s="3">
        <f>VLOOKUP(H17,cardsort_group_IDs!A:B,2,0)</f>
        <v>206</v>
      </c>
      <c r="J17" s="3" t="s">
        <v>51</v>
      </c>
      <c r="K17" s="3">
        <f>VLOOKUP(J17,cardsort_subgroup_IDs!A:B,2,0)</f>
        <v>316</v>
      </c>
      <c r="L17" s="3">
        <f t="shared" si="3"/>
        <v>1</v>
      </c>
      <c r="M17" s="3">
        <f t="shared" si="0"/>
        <v>0</v>
      </c>
      <c r="N17" s="3">
        <f t="shared" si="1"/>
        <v>2</v>
      </c>
      <c r="O17" s="3">
        <f t="shared" si="2"/>
        <v>2</v>
      </c>
      <c r="P17" s="12" t="s">
        <v>436</v>
      </c>
      <c r="Q17" s="12" t="s">
        <v>507</v>
      </c>
      <c r="R17" t="s">
        <v>511</v>
      </c>
      <c r="S17" s="12" t="s">
        <v>773</v>
      </c>
    </row>
    <row r="18" spans="1:19" ht="90" x14ac:dyDescent="0.25">
      <c r="A18" s="3">
        <v>24</v>
      </c>
      <c r="B18" s="18" t="s">
        <v>52</v>
      </c>
      <c r="C18" s="4" t="s">
        <v>9</v>
      </c>
      <c r="D18" s="12" t="s">
        <v>9</v>
      </c>
      <c r="E18" s="13">
        <v>508</v>
      </c>
      <c r="F18" s="4" t="s">
        <v>54</v>
      </c>
      <c r="G18" s="3" t="s">
        <v>517</v>
      </c>
      <c r="H18" s="3" t="s">
        <v>10</v>
      </c>
      <c r="I18" s="3">
        <f>VLOOKUP(H18,cardsort_group_IDs!A:B,2,0)</f>
        <v>201</v>
      </c>
      <c r="J18" s="3" t="s">
        <v>17</v>
      </c>
      <c r="K18" s="3">
        <f>VLOOKUP(J18,cardsort_subgroup_IDs!A:B,2,0)</f>
        <v>302</v>
      </c>
      <c r="L18" s="3">
        <f t="shared" si="3"/>
        <v>1</v>
      </c>
      <c r="M18" s="3">
        <f t="shared" si="0"/>
        <v>0</v>
      </c>
      <c r="N18" s="3">
        <f t="shared" si="1"/>
        <v>1</v>
      </c>
      <c r="O18" s="3">
        <f t="shared" si="2"/>
        <v>1</v>
      </c>
      <c r="P18" s="12" t="s">
        <v>436</v>
      </c>
      <c r="Q18" s="12" t="s">
        <v>507</v>
      </c>
      <c r="R18" t="s">
        <v>513</v>
      </c>
      <c r="S18" s="12" t="s">
        <v>9</v>
      </c>
    </row>
    <row r="19" spans="1:19" ht="60" x14ac:dyDescent="0.25">
      <c r="A19" s="3">
        <v>25</v>
      </c>
      <c r="B19" s="3" t="s">
        <v>815</v>
      </c>
      <c r="C19" s="4" t="s">
        <v>814</v>
      </c>
      <c r="D19" s="12" t="s">
        <v>9</v>
      </c>
      <c r="E19" s="13" t="s">
        <v>382</v>
      </c>
      <c r="F19" s="4" t="s">
        <v>55</v>
      </c>
      <c r="G19" s="3" t="s">
        <v>516</v>
      </c>
      <c r="H19" s="3" t="s">
        <v>56</v>
      </c>
      <c r="I19" s="3">
        <f>VLOOKUP(H19,cardsort_group_IDs!A:B,2,0)</f>
        <v>208</v>
      </c>
      <c r="J19" s="3" t="s">
        <v>838</v>
      </c>
      <c r="K19" s="3">
        <f>VLOOKUP(J19,cardsort_subgroup_IDs!A:B,2,0)</f>
        <v>317</v>
      </c>
      <c r="L19" s="3">
        <f t="shared" si="3"/>
        <v>1</v>
      </c>
      <c r="M19" s="3">
        <f t="shared" si="0"/>
        <v>0</v>
      </c>
      <c r="N19" s="3">
        <f t="shared" si="1"/>
        <v>3</v>
      </c>
      <c r="O19" s="3">
        <f t="shared" si="2"/>
        <v>3</v>
      </c>
      <c r="P19" s="12" t="s">
        <v>436</v>
      </c>
      <c r="Q19" s="12" t="s">
        <v>508</v>
      </c>
      <c r="R19" t="s">
        <v>511</v>
      </c>
      <c r="S19" s="12" t="s">
        <v>9</v>
      </c>
    </row>
    <row r="20" spans="1:19" x14ac:dyDescent="0.25">
      <c r="A20" s="3">
        <v>26</v>
      </c>
      <c r="B20" s="3" t="s">
        <v>616</v>
      </c>
      <c r="C20" s="4" t="s">
        <v>9</v>
      </c>
      <c r="D20" s="12" t="s">
        <v>306</v>
      </c>
      <c r="E20" s="13">
        <v>131</v>
      </c>
      <c r="F20" s="4" t="s">
        <v>621</v>
      </c>
      <c r="G20" s="3" t="s">
        <v>517</v>
      </c>
      <c r="H20" s="3" t="s">
        <v>56</v>
      </c>
      <c r="I20" s="3">
        <f>VLOOKUP(H20,cardsort_group_IDs!A:B,2,0)</f>
        <v>208</v>
      </c>
      <c r="J20" s="3" t="s">
        <v>838</v>
      </c>
      <c r="K20" s="3">
        <f>VLOOKUP(J20,cardsort_subgroup_IDs!A:B,2,0)</f>
        <v>317</v>
      </c>
      <c r="L20" s="3">
        <f t="shared" si="3"/>
        <v>3</v>
      </c>
      <c r="M20" s="3">
        <f t="shared" si="0"/>
        <v>2</v>
      </c>
      <c r="N20" s="3">
        <f t="shared" si="1"/>
        <v>1</v>
      </c>
      <c r="O20" s="3">
        <f t="shared" si="2"/>
        <v>3</v>
      </c>
      <c r="P20" s="12" t="s">
        <v>436</v>
      </c>
      <c r="Q20" s="12" t="s">
        <v>508</v>
      </c>
      <c r="R20" t="s">
        <v>512</v>
      </c>
      <c r="S20" s="12" t="s">
        <v>784</v>
      </c>
    </row>
    <row r="21" spans="1:19" ht="45" x14ac:dyDescent="0.25">
      <c r="A21" s="3">
        <v>27</v>
      </c>
      <c r="B21" s="3" t="s">
        <v>24</v>
      </c>
      <c r="C21" s="4" t="s">
        <v>457</v>
      </c>
      <c r="D21" s="13" t="s">
        <v>569</v>
      </c>
      <c r="E21" s="13" t="s">
        <v>650</v>
      </c>
      <c r="F21" s="4" t="s">
        <v>57</v>
      </c>
      <c r="G21" s="3" t="s">
        <v>517</v>
      </c>
      <c r="H21" s="3" t="s">
        <v>15</v>
      </c>
      <c r="I21" s="3">
        <f>VLOOKUP(H21,cardsort_group_IDs!A:B,2,0)</f>
        <v>204</v>
      </c>
      <c r="J21" s="3" t="s">
        <v>24</v>
      </c>
      <c r="K21" s="3">
        <f>VLOOKUP(J21,cardsort_subgroup_IDs!A:B,2,0)</f>
        <v>306</v>
      </c>
      <c r="L21" s="3">
        <f t="shared" si="3"/>
        <v>3</v>
      </c>
      <c r="M21" s="3">
        <f t="shared" si="0"/>
        <v>13</v>
      </c>
      <c r="N21" s="3">
        <f t="shared" si="1"/>
        <v>6</v>
      </c>
      <c r="O21" s="3">
        <f t="shared" si="2"/>
        <v>19</v>
      </c>
      <c r="P21" s="12" t="s">
        <v>93</v>
      </c>
      <c r="Q21" s="12" t="s">
        <v>507</v>
      </c>
      <c r="R21" t="s">
        <v>512</v>
      </c>
      <c r="S21" s="12" t="s">
        <v>9</v>
      </c>
    </row>
    <row r="22" spans="1:19" ht="60" x14ac:dyDescent="0.25">
      <c r="A22" s="3">
        <v>29</v>
      </c>
      <c r="B22" s="18" t="s">
        <v>694</v>
      </c>
      <c r="C22" s="4" t="s">
        <v>781</v>
      </c>
      <c r="D22" s="12" t="s">
        <v>9</v>
      </c>
      <c r="E22" s="13" t="s">
        <v>782</v>
      </c>
      <c r="F22" s="4" t="s">
        <v>783</v>
      </c>
      <c r="G22" s="3" t="s">
        <v>517</v>
      </c>
      <c r="H22" s="3" t="s">
        <v>30</v>
      </c>
      <c r="I22" s="3">
        <f>VLOOKUP(H22,cardsort_group_IDs!A:B,2,0)</f>
        <v>205</v>
      </c>
      <c r="J22" s="3" t="s">
        <v>31</v>
      </c>
      <c r="K22" s="3">
        <f>VLOOKUP(J22,cardsort_subgroup_IDs!A:B,2,0)</f>
        <v>308</v>
      </c>
      <c r="L22" s="3">
        <f t="shared" si="3"/>
        <v>1</v>
      </c>
      <c r="M22" s="3">
        <f t="shared" si="0"/>
        <v>0</v>
      </c>
      <c r="N22" s="3">
        <f t="shared" si="1"/>
        <v>3</v>
      </c>
      <c r="O22" s="3">
        <f t="shared" si="2"/>
        <v>3</v>
      </c>
      <c r="P22" s="12" t="s">
        <v>436</v>
      </c>
      <c r="Q22" s="12" t="s">
        <v>508</v>
      </c>
      <c r="R22" t="s">
        <v>512</v>
      </c>
      <c r="S22" s="12" t="s">
        <v>9</v>
      </c>
    </row>
    <row r="23" spans="1:19" ht="75" x14ac:dyDescent="0.25">
      <c r="A23" s="3">
        <v>30</v>
      </c>
      <c r="B23" s="3" t="s">
        <v>59</v>
      </c>
      <c r="C23" s="4" t="s">
        <v>9</v>
      </c>
      <c r="D23" s="13" t="s">
        <v>461</v>
      </c>
      <c r="E23" s="13" t="s">
        <v>524</v>
      </c>
      <c r="F23" s="4" t="s">
        <v>618</v>
      </c>
      <c r="G23" s="3" t="s">
        <v>517</v>
      </c>
      <c r="H23" s="3" t="s">
        <v>56</v>
      </c>
      <c r="I23" s="3">
        <f>VLOOKUP(H23,cardsort_group_IDs!A:B,2,0)</f>
        <v>208</v>
      </c>
      <c r="J23" s="3" t="s">
        <v>59</v>
      </c>
      <c r="K23" s="3">
        <f>VLOOKUP(J23,cardsort_subgroup_IDs!A:B,2,0)</f>
        <v>318</v>
      </c>
      <c r="L23" s="3">
        <f t="shared" si="3"/>
        <v>3</v>
      </c>
      <c r="M23" s="3">
        <f t="shared" si="0"/>
        <v>9</v>
      </c>
      <c r="N23" s="3">
        <f t="shared" si="1"/>
        <v>12</v>
      </c>
      <c r="O23" s="3">
        <f t="shared" si="2"/>
        <v>21</v>
      </c>
      <c r="P23" s="12" t="s">
        <v>93</v>
      </c>
      <c r="Q23" s="12" t="s">
        <v>507</v>
      </c>
      <c r="R23" t="s">
        <v>512</v>
      </c>
      <c r="S23" s="12" t="s">
        <v>619</v>
      </c>
    </row>
    <row r="24" spans="1:19" x14ac:dyDescent="0.25">
      <c r="A24" s="3">
        <v>31</v>
      </c>
      <c r="B24" s="3" t="s">
        <v>60</v>
      </c>
      <c r="C24" s="4" t="s">
        <v>696</v>
      </c>
      <c r="D24" s="12">
        <v>170</v>
      </c>
      <c r="E24" s="13" t="s">
        <v>685</v>
      </c>
      <c r="F24" t="s">
        <v>697</v>
      </c>
      <c r="G24" s="3" t="s">
        <v>517</v>
      </c>
      <c r="H24" s="3" t="s">
        <v>30</v>
      </c>
      <c r="I24" s="3">
        <f>VLOOKUP(H24,cardsort_group_IDs!A:B,2,0)</f>
        <v>205</v>
      </c>
      <c r="J24" s="3" t="s">
        <v>61</v>
      </c>
      <c r="K24" s="3">
        <f>VLOOKUP(J24,cardsort_subgroup_IDs!A:B,2,0)</f>
        <v>319</v>
      </c>
      <c r="L24" s="3">
        <f t="shared" si="3"/>
        <v>3</v>
      </c>
      <c r="M24" s="3">
        <f t="shared" si="0"/>
        <v>1</v>
      </c>
      <c r="N24" s="3">
        <f t="shared" si="1"/>
        <v>4</v>
      </c>
      <c r="O24" s="3">
        <f t="shared" si="2"/>
        <v>5</v>
      </c>
      <c r="P24" s="12" t="s">
        <v>436</v>
      </c>
      <c r="Q24" s="12" t="s">
        <v>507</v>
      </c>
      <c r="R24" t="s">
        <v>512</v>
      </c>
      <c r="S24" s="12" t="s">
        <v>698</v>
      </c>
    </row>
    <row r="25" spans="1:19" ht="75" x14ac:dyDescent="0.25">
      <c r="A25" s="3">
        <v>32</v>
      </c>
      <c r="B25" s="18" t="s">
        <v>695</v>
      </c>
      <c r="C25" s="4" t="s">
        <v>9</v>
      </c>
      <c r="D25" s="12" t="s">
        <v>290</v>
      </c>
      <c r="E25" s="13">
        <v>501</v>
      </c>
      <c r="F25" s="4" t="s">
        <v>63</v>
      </c>
      <c r="G25" s="3" t="s">
        <v>517</v>
      </c>
      <c r="H25" s="3" t="s">
        <v>56</v>
      </c>
      <c r="I25" s="3">
        <f>VLOOKUP(H25,cardsort_group_IDs!A:B,2,0)</f>
        <v>208</v>
      </c>
      <c r="J25" s="3" t="s">
        <v>59</v>
      </c>
      <c r="K25" s="3">
        <f>VLOOKUP(J25,cardsort_subgroup_IDs!A:B,2,0)</f>
        <v>318</v>
      </c>
      <c r="L25" s="3">
        <f t="shared" si="3"/>
        <v>3</v>
      </c>
      <c r="M25" s="3">
        <f t="shared" si="0"/>
        <v>1</v>
      </c>
      <c r="N25" s="3">
        <f t="shared" si="1"/>
        <v>1</v>
      </c>
      <c r="O25" s="3">
        <f t="shared" si="2"/>
        <v>2</v>
      </c>
      <c r="P25" s="12" t="s">
        <v>436</v>
      </c>
      <c r="Q25" s="12" t="s">
        <v>507</v>
      </c>
      <c r="R25" t="s">
        <v>512</v>
      </c>
      <c r="S25" s="12" t="s">
        <v>9</v>
      </c>
    </row>
    <row r="26" spans="1:19" ht="30" x14ac:dyDescent="0.25">
      <c r="A26" s="3">
        <v>33</v>
      </c>
      <c r="B26" s="27" t="s">
        <v>64</v>
      </c>
      <c r="C26" s="4" t="s">
        <v>9</v>
      </c>
      <c r="D26" s="12" t="s">
        <v>299</v>
      </c>
      <c r="E26" s="13" t="s">
        <v>301</v>
      </c>
      <c r="F26" s="4" t="s">
        <v>65</v>
      </c>
      <c r="G26" s="3" t="s">
        <v>516</v>
      </c>
      <c r="H26" s="3" t="s">
        <v>15</v>
      </c>
      <c r="I26" s="3">
        <f>VLOOKUP(H26,cardsort_group_IDs!A:B,2,0)</f>
        <v>204</v>
      </c>
      <c r="J26" s="3" t="s">
        <v>66</v>
      </c>
      <c r="K26" s="3">
        <f>VLOOKUP(J26,cardsort_subgroup_IDs!A:B,2,0)</f>
        <v>320</v>
      </c>
      <c r="L26" s="3">
        <f t="shared" si="3"/>
        <v>3</v>
      </c>
      <c r="M26" s="3">
        <f t="shared" si="0"/>
        <v>1</v>
      </c>
      <c r="N26" s="3">
        <f t="shared" si="1"/>
        <v>2</v>
      </c>
      <c r="O26" s="3">
        <f t="shared" si="2"/>
        <v>3</v>
      </c>
      <c r="P26" s="12" t="s">
        <v>436</v>
      </c>
      <c r="Q26" s="12" t="s">
        <v>508</v>
      </c>
      <c r="R26" t="s">
        <v>513</v>
      </c>
      <c r="S26" s="12" t="s">
        <v>9</v>
      </c>
    </row>
    <row r="27" spans="1:19" ht="60" x14ac:dyDescent="0.25">
      <c r="A27" s="3">
        <v>34</v>
      </c>
      <c r="B27" s="18" t="s">
        <v>67</v>
      </c>
      <c r="C27" s="4" t="s">
        <v>700</v>
      </c>
      <c r="D27" s="13" t="s">
        <v>375</v>
      </c>
      <c r="E27" s="13" t="s">
        <v>301</v>
      </c>
      <c r="F27" s="4" t="s">
        <v>681</v>
      </c>
      <c r="G27" s="3" t="s">
        <v>517</v>
      </c>
      <c r="H27" s="3" t="s">
        <v>21</v>
      </c>
      <c r="I27" s="3">
        <f>VLOOKUP(H27,cardsort_group_IDs!A:B,2,0)</f>
        <v>202</v>
      </c>
      <c r="J27" s="3" t="s">
        <v>22</v>
      </c>
      <c r="K27" s="3">
        <f>VLOOKUP(J27,cardsort_subgroup_IDs!A:B,2,0)</f>
        <v>303</v>
      </c>
      <c r="L27" s="3">
        <f t="shared" si="3"/>
        <v>3</v>
      </c>
      <c r="M27" s="3">
        <f t="shared" si="0"/>
        <v>4</v>
      </c>
      <c r="N27" s="3">
        <f t="shared" si="1"/>
        <v>2</v>
      </c>
      <c r="O27" s="3">
        <f t="shared" si="2"/>
        <v>6</v>
      </c>
      <c r="P27" s="12" t="s">
        <v>436</v>
      </c>
      <c r="Q27" s="12" t="s">
        <v>506</v>
      </c>
      <c r="R27" t="s">
        <v>512</v>
      </c>
      <c r="S27" s="12" t="s">
        <v>9</v>
      </c>
    </row>
    <row r="28" spans="1:19" ht="90" x14ac:dyDescent="0.25">
      <c r="A28" s="3">
        <v>36</v>
      </c>
      <c r="B28" s="3" t="s">
        <v>69</v>
      </c>
      <c r="C28" s="4" t="s">
        <v>835</v>
      </c>
      <c r="D28" s="13" t="s">
        <v>834</v>
      </c>
      <c r="E28" s="13" t="s">
        <v>850</v>
      </c>
      <c r="F28" s="4" t="s">
        <v>70</v>
      </c>
      <c r="G28" s="3" t="s">
        <v>516</v>
      </c>
      <c r="H28" s="3" t="s">
        <v>366</v>
      </c>
      <c r="I28" s="3">
        <f>VLOOKUP(H28,cardsort_group_IDs!A:B,2,0)</f>
        <v>203</v>
      </c>
      <c r="J28" s="3" t="s">
        <v>71</v>
      </c>
      <c r="K28" s="3">
        <f>VLOOKUP(J28,cardsort_subgroup_IDs!A:B,2,0)</f>
        <v>322</v>
      </c>
      <c r="L28" s="3">
        <f t="shared" si="3"/>
        <v>3</v>
      </c>
      <c r="M28" s="3">
        <f t="shared" si="0"/>
        <v>27</v>
      </c>
      <c r="N28" s="3">
        <f t="shared" si="1"/>
        <v>18</v>
      </c>
      <c r="O28" s="3">
        <f t="shared" si="2"/>
        <v>45</v>
      </c>
      <c r="P28" s="12" t="s">
        <v>93</v>
      </c>
      <c r="Q28" s="12" t="s">
        <v>506</v>
      </c>
      <c r="R28" t="s">
        <v>512</v>
      </c>
      <c r="S28" s="12" t="s">
        <v>821</v>
      </c>
    </row>
    <row r="29" spans="1:19" ht="165" x14ac:dyDescent="0.25">
      <c r="A29" s="3">
        <v>37</v>
      </c>
      <c r="B29" s="18" t="s">
        <v>816</v>
      </c>
      <c r="C29" s="4" t="s">
        <v>9</v>
      </c>
      <c r="D29" s="12" t="s">
        <v>9</v>
      </c>
      <c r="E29" s="13">
        <v>506</v>
      </c>
      <c r="F29" s="4" t="s">
        <v>72</v>
      </c>
      <c r="G29" s="3" t="s">
        <v>516</v>
      </c>
      <c r="H29" s="3" t="s">
        <v>10</v>
      </c>
      <c r="I29" s="3">
        <f>VLOOKUP(H29,cardsort_group_IDs!A:B,2,0)</f>
        <v>201</v>
      </c>
      <c r="J29" s="3" t="s">
        <v>17</v>
      </c>
      <c r="K29" s="3">
        <f>VLOOKUP(J29,cardsort_subgroup_IDs!A:B,2,0)</f>
        <v>302</v>
      </c>
      <c r="L29" s="3">
        <f t="shared" si="3"/>
        <v>1</v>
      </c>
      <c r="M29" s="3">
        <f t="shared" si="0"/>
        <v>0</v>
      </c>
      <c r="N29" s="3">
        <f t="shared" si="1"/>
        <v>1</v>
      </c>
      <c r="O29" s="3">
        <f t="shared" si="2"/>
        <v>1</v>
      </c>
      <c r="P29" s="12" t="s">
        <v>436</v>
      </c>
      <c r="Q29" s="12" t="s">
        <v>507</v>
      </c>
      <c r="R29" t="s">
        <v>513</v>
      </c>
      <c r="S29" s="12" t="s">
        <v>9</v>
      </c>
    </row>
    <row r="30" spans="1:19" ht="105" x14ac:dyDescent="0.25">
      <c r="A30" s="3">
        <v>38</v>
      </c>
      <c r="B30" s="18" t="s">
        <v>73</v>
      </c>
      <c r="C30" s="4" t="s">
        <v>703</v>
      </c>
      <c r="D30" s="12" t="s">
        <v>469</v>
      </c>
      <c r="E30" s="13" t="s">
        <v>525</v>
      </c>
      <c r="F30" s="6" t="s">
        <v>515</v>
      </c>
      <c r="G30" s="3" t="s">
        <v>517</v>
      </c>
      <c r="H30" s="3" t="s">
        <v>15</v>
      </c>
      <c r="I30" s="3">
        <f>VLOOKUP(H30,cardsort_group_IDs!A:B,2,0)</f>
        <v>204</v>
      </c>
      <c r="J30" s="3" t="s">
        <v>24</v>
      </c>
      <c r="K30" s="3">
        <f>VLOOKUP(J30,cardsort_subgroup_IDs!A:B,2,0)</f>
        <v>306</v>
      </c>
      <c r="L30" s="3">
        <f t="shared" si="3"/>
        <v>3</v>
      </c>
      <c r="M30" s="3">
        <f t="shared" si="0"/>
        <v>4</v>
      </c>
      <c r="N30" s="3">
        <f t="shared" si="1"/>
        <v>13</v>
      </c>
      <c r="O30" s="3">
        <f t="shared" si="2"/>
        <v>17</v>
      </c>
      <c r="P30" s="12" t="s">
        <v>93</v>
      </c>
      <c r="Q30" s="12" t="s">
        <v>506</v>
      </c>
      <c r="R30" t="s">
        <v>511</v>
      </c>
      <c r="S30" s="12" t="s">
        <v>9</v>
      </c>
    </row>
    <row r="31" spans="1:19" ht="45" x14ac:dyDescent="0.25">
      <c r="A31" s="3">
        <v>39</v>
      </c>
      <c r="B31" s="20" t="s">
        <v>74</v>
      </c>
      <c r="C31" s="4" t="s">
        <v>9</v>
      </c>
      <c r="D31" s="12" t="s">
        <v>299</v>
      </c>
      <c r="E31" s="13" t="s">
        <v>301</v>
      </c>
      <c r="F31" s="4" t="s">
        <v>75</v>
      </c>
      <c r="G31" s="3" t="s">
        <v>516</v>
      </c>
      <c r="H31" s="3" t="s">
        <v>15</v>
      </c>
      <c r="I31" s="3">
        <f>VLOOKUP(H31,cardsort_group_IDs!A:B,2,0)</f>
        <v>204</v>
      </c>
      <c r="J31" s="3" t="s">
        <v>66</v>
      </c>
      <c r="K31" s="3">
        <f>VLOOKUP(J31,cardsort_subgroup_IDs!A:B,2,0)</f>
        <v>320</v>
      </c>
      <c r="L31" s="3">
        <f t="shared" si="3"/>
        <v>3</v>
      </c>
      <c r="M31" s="3">
        <f t="shared" ref="M31:M57" si="4">IF(D31="-",0,LEN(D31)-LEN(SUBSTITUTE(D31,";",""))+1)</f>
        <v>1</v>
      </c>
      <c r="N31" s="3">
        <f t="shared" ref="N31:N57" si="5">IF(E31="-",0,LEN(E31)-LEN(SUBSTITUTE(E31,";",""))+1)</f>
        <v>2</v>
      </c>
      <c r="O31" s="3">
        <f t="shared" si="2"/>
        <v>3</v>
      </c>
      <c r="P31" s="12" t="s">
        <v>436</v>
      </c>
      <c r="Q31" s="12" t="s">
        <v>506</v>
      </c>
      <c r="R31" t="s">
        <v>511</v>
      </c>
      <c r="S31" s="12" t="s">
        <v>9</v>
      </c>
    </row>
    <row r="32" spans="1:19" ht="75" x14ac:dyDescent="0.25">
      <c r="A32" s="3">
        <v>40</v>
      </c>
      <c r="B32" s="20" t="s">
        <v>47</v>
      </c>
      <c r="C32" s="4" t="s">
        <v>76</v>
      </c>
      <c r="D32" s="13" t="s">
        <v>371</v>
      </c>
      <c r="E32" s="13" t="s">
        <v>828</v>
      </c>
      <c r="F32" s="4" t="s">
        <v>77</v>
      </c>
      <c r="G32" s="3" t="s">
        <v>516</v>
      </c>
      <c r="H32" s="3" t="s">
        <v>366</v>
      </c>
      <c r="I32" s="3">
        <f>VLOOKUP(H32,cardsort_group_IDs!A:B,2,0)</f>
        <v>203</v>
      </c>
      <c r="J32" s="4" t="s">
        <v>47</v>
      </c>
      <c r="K32" s="3">
        <f>VLOOKUP(J32,cardsort_subgroup_IDs!A:B,2,0)</f>
        <v>313</v>
      </c>
      <c r="L32" s="3">
        <f t="shared" si="3"/>
        <v>3</v>
      </c>
      <c r="M32" s="3">
        <f t="shared" si="4"/>
        <v>7</v>
      </c>
      <c r="N32" s="3">
        <f t="shared" si="5"/>
        <v>8</v>
      </c>
      <c r="O32" s="3">
        <f t="shared" si="2"/>
        <v>15</v>
      </c>
      <c r="P32" s="12" t="s">
        <v>93</v>
      </c>
      <c r="Q32" s="12" t="s">
        <v>506</v>
      </c>
      <c r="R32" t="s">
        <v>511</v>
      </c>
      <c r="S32" s="12" t="s">
        <v>9</v>
      </c>
    </row>
    <row r="33" spans="1:19" ht="45" x14ac:dyDescent="0.25">
      <c r="A33" s="3">
        <v>41</v>
      </c>
      <c r="B33" s="21" t="s">
        <v>78</v>
      </c>
      <c r="C33" s="5" t="s">
        <v>173</v>
      </c>
      <c r="D33" s="12" t="s">
        <v>291</v>
      </c>
      <c r="E33" s="13" t="s">
        <v>302</v>
      </c>
      <c r="F33" s="5" t="s">
        <v>79</v>
      </c>
      <c r="G33" s="3" t="s">
        <v>516</v>
      </c>
      <c r="H33" s="3" t="s">
        <v>366</v>
      </c>
      <c r="I33" s="3">
        <f>VLOOKUP(H33,cardsort_group_IDs!A:B,2,0)</f>
        <v>203</v>
      </c>
      <c r="J33" s="3" t="s">
        <v>68</v>
      </c>
      <c r="K33" s="3">
        <f>VLOOKUP(J33,cardsort_subgroup_IDs!A:B,2,0)</f>
        <v>321</v>
      </c>
      <c r="L33" s="3">
        <f t="shared" si="3"/>
        <v>3</v>
      </c>
      <c r="M33" s="3">
        <f t="shared" si="4"/>
        <v>4</v>
      </c>
      <c r="N33" s="3">
        <f t="shared" si="5"/>
        <v>2</v>
      </c>
      <c r="O33" s="3">
        <f t="shared" si="2"/>
        <v>6</v>
      </c>
      <c r="P33" s="12" t="s">
        <v>436</v>
      </c>
      <c r="Q33" s="12" t="s">
        <v>506</v>
      </c>
      <c r="R33" t="s">
        <v>511</v>
      </c>
      <c r="S33" s="12" t="s">
        <v>9</v>
      </c>
    </row>
    <row r="34" spans="1:19" ht="45" x14ac:dyDescent="0.25">
      <c r="A34" s="3">
        <v>42</v>
      </c>
      <c r="B34" s="18" t="s">
        <v>80</v>
      </c>
      <c r="C34" s="4" t="s">
        <v>778</v>
      </c>
      <c r="D34" s="12" t="s">
        <v>9</v>
      </c>
      <c r="E34" s="13" t="s">
        <v>779</v>
      </c>
      <c r="F34" s="4" t="s">
        <v>81</v>
      </c>
      <c r="G34" s="3" t="s">
        <v>517</v>
      </c>
      <c r="H34" s="3" t="s">
        <v>30</v>
      </c>
      <c r="I34" s="3">
        <f>VLOOKUP(H34,cardsort_group_IDs!A:B,2,0)</f>
        <v>205</v>
      </c>
      <c r="J34" s="3" t="s">
        <v>31</v>
      </c>
      <c r="K34" s="3">
        <f>VLOOKUP(J34,cardsort_subgroup_IDs!A:B,2,0)</f>
        <v>308</v>
      </c>
      <c r="L34" s="3">
        <f t="shared" si="3"/>
        <v>1</v>
      </c>
      <c r="M34" s="3">
        <f t="shared" si="4"/>
        <v>0</v>
      </c>
      <c r="N34" s="3">
        <f t="shared" si="5"/>
        <v>3</v>
      </c>
      <c r="O34" s="3">
        <f t="shared" si="2"/>
        <v>3</v>
      </c>
      <c r="P34" s="12" t="s">
        <v>436</v>
      </c>
      <c r="Q34" s="12" t="s">
        <v>508</v>
      </c>
      <c r="R34" t="s">
        <v>512</v>
      </c>
      <c r="S34" s="12" t="s">
        <v>780</v>
      </c>
    </row>
    <row r="35" spans="1:19" ht="45" x14ac:dyDescent="0.25">
      <c r="A35" s="3">
        <v>43</v>
      </c>
      <c r="B35" s="22" t="s">
        <v>82</v>
      </c>
      <c r="C35" s="5" t="s">
        <v>9</v>
      </c>
      <c r="D35" s="12" t="s">
        <v>299</v>
      </c>
      <c r="E35" s="13" t="s">
        <v>301</v>
      </c>
      <c r="F35" s="5" t="s">
        <v>83</v>
      </c>
      <c r="G35" s="3" t="s">
        <v>516</v>
      </c>
      <c r="H35" s="3" t="s">
        <v>366</v>
      </c>
      <c r="I35" s="3">
        <f>VLOOKUP(H35,cardsort_group_IDs!A:B,2,0)</f>
        <v>203</v>
      </c>
      <c r="J35" s="3" t="s">
        <v>84</v>
      </c>
      <c r="K35" s="3">
        <f>VLOOKUP(J35,cardsort_subgroup_IDs!A:B,2,0)</f>
        <v>323</v>
      </c>
      <c r="L35" s="3">
        <f t="shared" si="3"/>
        <v>3</v>
      </c>
      <c r="M35" s="3">
        <f t="shared" si="4"/>
        <v>1</v>
      </c>
      <c r="N35" s="3">
        <f t="shared" si="5"/>
        <v>2</v>
      </c>
      <c r="O35" s="3">
        <f t="shared" si="2"/>
        <v>3</v>
      </c>
      <c r="P35" s="12" t="s">
        <v>436</v>
      </c>
      <c r="Q35" s="12" t="s">
        <v>506</v>
      </c>
      <c r="R35" t="s">
        <v>511</v>
      </c>
      <c r="S35" s="12" t="s">
        <v>9</v>
      </c>
    </row>
    <row r="36" spans="1:19" ht="45" x14ac:dyDescent="0.25">
      <c r="A36" s="3">
        <v>44</v>
      </c>
      <c r="B36" s="18" t="s">
        <v>85</v>
      </c>
      <c r="C36" s="4" t="s">
        <v>705</v>
      </c>
      <c r="D36" s="13" t="s">
        <v>704</v>
      </c>
      <c r="E36" s="13" t="s">
        <v>376</v>
      </c>
      <c r="F36" s="4" t="s">
        <v>87</v>
      </c>
      <c r="G36" s="3" t="s">
        <v>517</v>
      </c>
      <c r="H36" s="3" t="s">
        <v>21</v>
      </c>
      <c r="I36" s="3">
        <f>VLOOKUP(H36,cardsort_group_IDs!A:B,2,0)</f>
        <v>202</v>
      </c>
      <c r="J36" s="3" t="s">
        <v>88</v>
      </c>
      <c r="K36" s="3">
        <f>VLOOKUP(J36,cardsort_subgroup_IDs!A:B,2,0)</f>
        <v>324</v>
      </c>
      <c r="L36" s="3">
        <f t="shared" si="3"/>
        <v>3</v>
      </c>
      <c r="M36" s="3">
        <f t="shared" si="4"/>
        <v>2</v>
      </c>
      <c r="N36" s="3">
        <f t="shared" si="5"/>
        <v>2</v>
      </c>
      <c r="O36" s="3">
        <f t="shared" si="2"/>
        <v>4</v>
      </c>
      <c r="P36" s="12" t="s">
        <v>93</v>
      </c>
      <c r="Q36" s="12" t="s">
        <v>507</v>
      </c>
      <c r="R36" t="s">
        <v>511</v>
      </c>
      <c r="S36" s="12" t="s">
        <v>9</v>
      </c>
    </row>
    <row r="37" spans="1:19" ht="60" x14ac:dyDescent="0.25">
      <c r="A37" s="3">
        <v>45</v>
      </c>
      <c r="B37" s="3" t="s">
        <v>89</v>
      </c>
      <c r="C37" s="4" t="s">
        <v>9</v>
      </c>
      <c r="D37" s="12" t="s">
        <v>9</v>
      </c>
      <c r="E37" s="13" t="s">
        <v>526</v>
      </c>
      <c r="F37" s="4" t="s">
        <v>589</v>
      </c>
      <c r="G37" s="3" t="s">
        <v>517</v>
      </c>
      <c r="H37" s="3" t="s">
        <v>21</v>
      </c>
      <c r="I37" s="3">
        <f>VLOOKUP(H37,cardsort_group_IDs!A:B,2,0)</f>
        <v>202</v>
      </c>
      <c r="J37" s="3" t="s">
        <v>90</v>
      </c>
      <c r="K37" s="3">
        <f>VLOOKUP(J37,cardsort_subgroup_IDs!A:B,2,0)</f>
        <v>325</v>
      </c>
      <c r="L37" s="3">
        <f t="shared" si="3"/>
        <v>1</v>
      </c>
      <c r="M37" s="3">
        <f t="shared" si="4"/>
        <v>0</v>
      </c>
      <c r="N37" s="3">
        <f t="shared" si="5"/>
        <v>2</v>
      </c>
      <c r="O37" s="3">
        <f t="shared" si="2"/>
        <v>2</v>
      </c>
      <c r="P37" s="12" t="s">
        <v>436</v>
      </c>
      <c r="Q37" s="12" t="s">
        <v>507</v>
      </c>
      <c r="R37" t="s">
        <v>512</v>
      </c>
      <c r="S37" s="12" t="s">
        <v>9</v>
      </c>
    </row>
    <row r="38" spans="1:19" ht="60" x14ac:dyDescent="0.25">
      <c r="A38" s="3">
        <v>46</v>
      </c>
      <c r="B38" s="3" t="s">
        <v>706</v>
      </c>
      <c r="C38" s="4" t="s">
        <v>708</v>
      </c>
      <c r="D38" s="12" t="s">
        <v>9</v>
      </c>
      <c r="E38" s="13" t="s">
        <v>314</v>
      </c>
      <c r="F38" s="4" t="s">
        <v>707</v>
      </c>
      <c r="G38" s="3" t="s">
        <v>517</v>
      </c>
      <c r="H38" s="3" t="s">
        <v>42</v>
      </c>
      <c r="I38" s="3">
        <f>VLOOKUP(H38,cardsort_group_IDs!A:B,2,0)</f>
        <v>206</v>
      </c>
      <c r="J38" s="3" t="s">
        <v>91</v>
      </c>
      <c r="K38" s="3">
        <f>VLOOKUP(J38,cardsort_subgroup_IDs!A:B,2,0)</f>
        <v>326</v>
      </c>
      <c r="L38" s="3">
        <f t="shared" si="3"/>
        <v>1</v>
      </c>
      <c r="M38" s="3">
        <f t="shared" si="4"/>
        <v>0</v>
      </c>
      <c r="N38" s="3">
        <f t="shared" si="5"/>
        <v>2</v>
      </c>
      <c r="O38" s="3">
        <f t="shared" si="2"/>
        <v>2</v>
      </c>
      <c r="P38" s="12" t="s">
        <v>93</v>
      </c>
      <c r="Q38" s="12" t="s">
        <v>506</v>
      </c>
      <c r="R38" t="s">
        <v>511</v>
      </c>
      <c r="S38" s="12" t="s">
        <v>9</v>
      </c>
    </row>
    <row r="39" spans="1:19" ht="60" x14ac:dyDescent="0.25">
      <c r="A39" s="3">
        <v>50</v>
      </c>
      <c r="B39" s="3" t="s">
        <v>559</v>
      </c>
      <c r="C39" s="4" t="s">
        <v>560</v>
      </c>
      <c r="D39" s="12" t="s">
        <v>565</v>
      </c>
      <c r="E39" s="13" t="s">
        <v>841</v>
      </c>
      <c r="F39" s="4" t="s">
        <v>518</v>
      </c>
      <c r="G39" s="3" t="s">
        <v>519</v>
      </c>
      <c r="H39" s="3" t="s">
        <v>366</v>
      </c>
      <c r="I39" s="3">
        <f>VLOOKUP(H39,cardsort_group_IDs!A:B,2,0)</f>
        <v>203</v>
      </c>
      <c r="J39" s="3" t="s">
        <v>23</v>
      </c>
      <c r="K39" s="3">
        <f>VLOOKUP(J39,cardsort_subgroup_IDs!A:B,2,0)</f>
        <v>305</v>
      </c>
      <c r="L39" s="3">
        <f t="shared" si="3"/>
        <v>3</v>
      </c>
      <c r="M39" s="3">
        <f t="shared" si="4"/>
        <v>7</v>
      </c>
      <c r="N39" s="3">
        <f t="shared" si="5"/>
        <v>6</v>
      </c>
      <c r="O39" s="3">
        <f t="shared" si="2"/>
        <v>13</v>
      </c>
      <c r="P39" s="12" t="s">
        <v>436</v>
      </c>
      <c r="Q39" s="12" t="s">
        <v>506</v>
      </c>
      <c r="R39" t="s">
        <v>513</v>
      </c>
      <c r="S39" s="12" t="s">
        <v>561</v>
      </c>
    </row>
    <row r="40" spans="1:19" ht="90" x14ac:dyDescent="0.25">
      <c r="A40" s="3">
        <v>56</v>
      </c>
      <c r="B40" s="27" t="s">
        <v>93</v>
      </c>
      <c r="C40" s="4" t="s">
        <v>174</v>
      </c>
      <c r="D40" s="12" t="s">
        <v>299</v>
      </c>
      <c r="E40" s="13" t="s">
        <v>381</v>
      </c>
      <c r="F40" s="4" t="s">
        <v>94</v>
      </c>
      <c r="G40" s="3" t="s">
        <v>517</v>
      </c>
      <c r="H40" s="3" t="s">
        <v>366</v>
      </c>
      <c r="I40" s="3">
        <f>VLOOKUP(H40,cardsort_group_IDs!A:B,2,0)</f>
        <v>203</v>
      </c>
      <c r="J40" s="3" t="s">
        <v>68</v>
      </c>
      <c r="K40" s="3">
        <f>VLOOKUP(J40,cardsort_subgroup_IDs!A:B,2,0)</f>
        <v>321</v>
      </c>
      <c r="L40" s="3">
        <f t="shared" si="3"/>
        <v>3</v>
      </c>
      <c r="M40" s="3">
        <f t="shared" si="4"/>
        <v>1</v>
      </c>
      <c r="N40" s="3">
        <f t="shared" si="5"/>
        <v>3</v>
      </c>
      <c r="O40" s="3">
        <f t="shared" si="2"/>
        <v>4</v>
      </c>
      <c r="P40" s="12" t="s">
        <v>436</v>
      </c>
      <c r="Q40" s="12" t="s">
        <v>507</v>
      </c>
      <c r="R40" t="s">
        <v>513</v>
      </c>
      <c r="S40" s="12" t="s">
        <v>9</v>
      </c>
    </row>
    <row r="41" spans="1:19" ht="75" x14ac:dyDescent="0.25">
      <c r="A41" s="3">
        <v>57</v>
      </c>
      <c r="B41" s="23" t="s">
        <v>95</v>
      </c>
      <c r="C41" s="7" t="s">
        <v>9</v>
      </c>
      <c r="D41" s="12" t="s">
        <v>9</v>
      </c>
      <c r="E41" s="13">
        <v>514</v>
      </c>
      <c r="F41" s="4" t="s">
        <v>96</v>
      </c>
      <c r="G41" s="3" t="s">
        <v>517</v>
      </c>
      <c r="H41" s="3" t="s">
        <v>10</v>
      </c>
      <c r="I41" s="3">
        <f>VLOOKUP(H41,cardsort_group_IDs!A:B,2,0)</f>
        <v>201</v>
      </c>
      <c r="J41" s="3" t="s">
        <v>17</v>
      </c>
      <c r="K41" s="3">
        <f>VLOOKUP(J41,cardsort_subgroup_IDs!A:B,2,0)</f>
        <v>302</v>
      </c>
      <c r="L41" s="3">
        <f t="shared" si="3"/>
        <v>1</v>
      </c>
      <c r="M41" s="3">
        <f t="shared" si="4"/>
        <v>0</v>
      </c>
      <c r="N41" s="3">
        <f t="shared" si="5"/>
        <v>1</v>
      </c>
      <c r="O41" s="3">
        <f t="shared" si="2"/>
        <v>1</v>
      </c>
      <c r="P41" s="12" t="s">
        <v>436</v>
      </c>
      <c r="Q41" s="12" t="s">
        <v>507</v>
      </c>
      <c r="R41" t="s">
        <v>513</v>
      </c>
      <c r="S41" s="12" t="s">
        <v>9</v>
      </c>
    </row>
    <row r="42" spans="1:19" ht="210" x14ac:dyDescent="0.25">
      <c r="A42" s="3">
        <v>58</v>
      </c>
      <c r="B42" s="18" t="s">
        <v>97</v>
      </c>
      <c r="C42" s="4" t="s">
        <v>163</v>
      </c>
      <c r="D42" s="12" t="s">
        <v>411</v>
      </c>
      <c r="E42" s="13" t="s">
        <v>393</v>
      </c>
      <c r="F42" s="4" t="s">
        <v>562</v>
      </c>
      <c r="G42" s="3" t="s">
        <v>516</v>
      </c>
      <c r="H42" s="3" t="s">
        <v>366</v>
      </c>
      <c r="I42" s="3">
        <f>VLOOKUP(H42,cardsort_group_IDs!A:B,2,0)</f>
        <v>203</v>
      </c>
      <c r="J42" s="4" t="s">
        <v>47</v>
      </c>
      <c r="K42" s="3">
        <f>VLOOKUP(J42,cardsort_subgroup_IDs!A:B,2,0)</f>
        <v>313</v>
      </c>
      <c r="L42" s="3">
        <f t="shared" si="3"/>
        <v>3</v>
      </c>
      <c r="M42" s="3">
        <f t="shared" si="4"/>
        <v>1</v>
      </c>
      <c r="N42" s="3">
        <f t="shared" si="5"/>
        <v>3</v>
      </c>
      <c r="O42" s="3">
        <f t="shared" si="2"/>
        <v>4</v>
      </c>
      <c r="P42" s="12" t="s">
        <v>93</v>
      </c>
      <c r="Q42" s="12" t="s">
        <v>506</v>
      </c>
      <c r="R42" t="s">
        <v>511</v>
      </c>
      <c r="S42" s="12" t="s">
        <v>557</v>
      </c>
    </row>
    <row r="43" spans="1:19" x14ac:dyDescent="0.25">
      <c r="A43" s="3">
        <v>59</v>
      </c>
      <c r="B43" s="3" t="s">
        <v>709</v>
      </c>
      <c r="C43" s="4" t="s">
        <v>710</v>
      </c>
      <c r="D43" s="12" t="s">
        <v>9</v>
      </c>
      <c r="E43" s="13" t="s">
        <v>303</v>
      </c>
      <c r="F43" s="4" t="s">
        <v>98</v>
      </c>
      <c r="G43" s="3" t="s">
        <v>516</v>
      </c>
      <c r="H43" s="3" t="s">
        <v>366</v>
      </c>
      <c r="I43" s="3">
        <f>VLOOKUP(H43,cardsort_group_IDs!A:B,2,0)</f>
        <v>203</v>
      </c>
      <c r="J43" s="3" t="s">
        <v>23</v>
      </c>
      <c r="K43" s="3">
        <f>VLOOKUP(J43,cardsort_subgroup_IDs!A:B,2,0)</f>
        <v>305</v>
      </c>
      <c r="L43" s="3">
        <f t="shared" si="3"/>
        <v>1</v>
      </c>
      <c r="M43" s="3">
        <f t="shared" si="4"/>
        <v>0</v>
      </c>
      <c r="N43" s="3">
        <f t="shared" si="5"/>
        <v>4</v>
      </c>
      <c r="O43" s="3">
        <f t="shared" si="2"/>
        <v>4</v>
      </c>
      <c r="P43" s="12" t="s">
        <v>93</v>
      </c>
      <c r="Q43" s="12" t="s">
        <v>506</v>
      </c>
      <c r="R43" t="s">
        <v>513</v>
      </c>
      <c r="S43" s="12" t="s">
        <v>520</v>
      </c>
    </row>
    <row r="44" spans="1:19" ht="60" x14ac:dyDescent="0.25">
      <c r="A44" s="3">
        <v>62</v>
      </c>
      <c r="B44" s="24" t="s">
        <v>587</v>
      </c>
      <c r="C44" s="5" t="s">
        <v>751</v>
      </c>
      <c r="D44" s="13" t="s">
        <v>749</v>
      </c>
      <c r="E44" s="13" t="s">
        <v>750</v>
      </c>
      <c r="F44" s="4" t="s">
        <v>588</v>
      </c>
      <c r="G44" s="3" t="s">
        <v>517</v>
      </c>
      <c r="H44" s="3" t="s">
        <v>15</v>
      </c>
      <c r="I44" s="3">
        <f>VLOOKUP(H44,cardsort_group_IDs!A:B,2,0)</f>
        <v>204</v>
      </c>
      <c r="J44" s="3" t="s">
        <v>24</v>
      </c>
      <c r="K44" s="3">
        <f>VLOOKUP(J44,cardsort_subgroup_IDs!A:B,2,0)</f>
        <v>306</v>
      </c>
      <c r="L44" s="3">
        <f t="shared" si="3"/>
        <v>3</v>
      </c>
      <c r="M44" s="3">
        <f t="shared" si="4"/>
        <v>5</v>
      </c>
      <c r="N44" s="3">
        <f t="shared" si="5"/>
        <v>9</v>
      </c>
      <c r="O44" s="3">
        <f t="shared" si="2"/>
        <v>14</v>
      </c>
      <c r="P44" s="12" t="s">
        <v>436</v>
      </c>
      <c r="Q44" s="12" t="s">
        <v>507</v>
      </c>
      <c r="R44" t="s">
        <v>512</v>
      </c>
      <c r="S44" s="12" t="s">
        <v>9</v>
      </c>
    </row>
    <row r="45" spans="1:19" ht="60" x14ac:dyDescent="0.25">
      <c r="A45" s="3">
        <v>63</v>
      </c>
      <c r="B45" s="3" t="s">
        <v>100</v>
      </c>
      <c r="C45" s="4" t="s">
        <v>164</v>
      </c>
      <c r="D45" s="12" t="s">
        <v>472</v>
      </c>
      <c r="E45" s="13" t="s">
        <v>311</v>
      </c>
      <c r="F45" s="4" t="s">
        <v>102</v>
      </c>
      <c r="G45" s="3" t="s">
        <v>517</v>
      </c>
      <c r="H45" s="3" t="s">
        <v>30</v>
      </c>
      <c r="I45" s="3">
        <f>VLOOKUP(H45,cardsort_group_IDs!A:B,2,0)</f>
        <v>205</v>
      </c>
      <c r="J45" s="3" t="s">
        <v>35</v>
      </c>
      <c r="K45" s="3">
        <f>VLOOKUP(J45,cardsort_subgroup_IDs!A:B,2,0)</f>
        <v>309</v>
      </c>
      <c r="L45" s="3">
        <f t="shared" si="3"/>
        <v>3</v>
      </c>
      <c r="M45" s="3">
        <f t="shared" si="4"/>
        <v>2</v>
      </c>
      <c r="N45" s="3">
        <f t="shared" si="5"/>
        <v>2</v>
      </c>
      <c r="O45" s="3">
        <f t="shared" si="2"/>
        <v>4</v>
      </c>
      <c r="P45" s="12" t="s">
        <v>93</v>
      </c>
      <c r="Q45" s="12" t="s">
        <v>508</v>
      </c>
      <c r="R45" t="s">
        <v>512</v>
      </c>
      <c r="S45" s="12" t="s">
        <v>9</v>
      </c>
    </row>
    <row r="46" spans="1:19" ht="30" x14ac:dyDescent="0.25">
      <c r="A46" s="3">
        <v>64</v>
      </c>
      <c r="B46" s="3" t="s">
        <v>103</v>
      </c>
      <c r="C46" s="4" t="s">
        <v>9</v>
      </c>
      <c r="D46" s="13">
        <v>201</v>
      </c>
      <c r="E46" s="13" t="s">
        <v>9</v>
      </c>
      <c r="F46" s="4" t="s">
        <v>712</v>
      </c>
      <c r="G46" s="3" t="s">
        <v>517</v>
      </c>
      <c r="H46" s="3" t="s">
        <v>21</v>
      </c>
      <c r="I46" s="3">
        <f>VLOOKUP(H46,cardsort_group_IDs!A:B,2,0)</f>
        <v>202</v>
      </c>
      <c r="J46" s="3" t="s">
        <v>22</v>
      </c>
      <c r="K46" s="3">
        <f>VLOOKUP(J46,cardsort_subgroup_IDs!A:B,2,0)</f>
        <v>303</v>
      </c>
      <c r="L46" s="3">
        <f t="shared" si="3"/>
        <v>2</v>
      </c>
      <c r="M46" s="3">
        <f t="shared" si="4"/>
        <v>1</v>
      </c>
      <c r="N46" s="3">
        <f t="shared" si="5"/>
        <v>0</v>
      </c>
      <c r="O46" s="3">
        <f t="shared" si="2"/>
        <v>1</v>
      </c>
      <c r="P46" s="12" t="s">
        <v>436</v>
      </c>
      <c r="Q46" s="12" t="s">
        <v>506</v>
      </c>
      <c r="R46" t="s">
        <v>512</v>
      </c>
      <c r="S46" s="12" t="s">
        <v>9</v>
      </c>
    </row>
    <row r="47" spans="1:19" ht="90" x14ac:dyDescent="0.25">
      <c r="A47" s="3">
        <v>65</v>
      </c>
      <c r="B47" s="3" t="s">
        <v>104</v>
      </c>
      <c r="C47" s="4" t="s">
        <v>711</v>
      </c>
      <c r="D47" s="13" t="s">
        <v>462</v>
      </c>
      <c r="E47" s="13" t="s">
        <v>377</v>
      </c>
      <c r="F47" s="4" t="s">
        <v>105</v>
      </c>
      <c r="G47" s="3" t="s">
        <v>517</v>
      </c>
      <c r="H47" s="3" t="s">
        <v>21</v>
      </c>
      <c r="I47" s="3">
        <f>VLOOKUP(H47,cardsort_group_IDs!A:B,2,0)</f>
        <v>202</v>
      </c>
      <c r="J47" s="3" t="s">
        <v>90</v>
      </c>
      <c r="K47" s="3">
        <f>VLOOKUP(J47,cardsort_subgroup_IDs!A:B,2,0)</f>
        <v>325</v>
      </c>
      <c r="L47" s="3">
        <f t="shared" si="3"/>
        <v>3</v>
      </c>
      <c r="M47" s="3">
        <f t="shared" si="4"/>
        <v>7</v>
      </c>
      <c r="N47" s="3">
        <f t="shared" si="5"/>
        <v>9</v>
      </c>
      <c r="O47" s="3">
        <f t="shared" si="2"/>
        <v>16</v>
      </c>
      <c r="P47" s="12" t="s">
        <v>436</v>
      </c>
      <c r="Q47" s="12" t="s">
        <v>507</v>
      </c>
      <c r="R47" t="s">
        <v>512</v>
      </c>
      <c r="S47" s="12" t="s">
        <v>9</v>
      </c>
    </row>
    <row r="48" spans="1:19" ht="30" x14ac:dyDescent="0.25">
      <c r="A48" s="3">
        <v>67</v>
      </c>
      <c r="B48" s="4" t="s">
        <v>509</v>
      </c>
      <c r="C48" s="4" t="s">
        <v>9</v>
      </c>
      <c r="D48" s="12" t="s">
        <v>299</v>
      </c>
      <c r="E48" s="13" t="s">
        <v>301</v>
      </c>
      <c r="F48" s="4" t="s">
        <v>106</v>
      </c>
      <c r="G48" s="3" t="s">
        <v>517</v>
      </c>
      <c r="H48" s="3" t="s">
        <v>42</v>
      </c>
      <c r="I48" s="3">
        <f>VLOOKUP(H48,cardsort_group_IDs!A:B,2,0)</f>
        <v>206</v>
      </c>
      <c r="J48" s="3" t="s">
        <v>91</v>
      </c>
      <c r="K48" s="3">
        <f>VLOOKUP(J48,cardsort_subgroup_IDs!A:B,2,0)</f>
        <v>326</v>
      </c>
      <c r="L48" s="3">
        <f t="shared" si="3"/>
        <v>3</v>
      </c>
      <c r="M48" s="3">
        <f t="shared" si="4"/>
        <v>1</v>
      </c>
      <c r="N48" s="3">
        <f t="shared" si="5"/>
        <v>2</v>
      </c>
      <c r="O48" s="3">
        <f t="shared" si="2"/>
        <v>3</v>
      </c>
      <c r="P48" s="12" t="s">
        <v>436</v>
      </c>
      <c r="Q48" s="12" t="s">
        <v>507</v>
      </c>
      <c r="R48" t="s">
        <v>511</v>
      </c>
      <c r="S48" s="12" t="s">
        <v>9</v>
      </c>
    </row>
    <row r="49" spans="1:19" x14ac:dyDescent="0.25">
      <c r="A49" s="3">
        <v>69</v>
      </c>
      <c r="B49" s="24" t="s">
        <v>107</v>
      </c>
      <c r="C49" t="s">
        <v>713</v>
      </c>
      <c r="D49" s="12" t="s">
        <v>292</v>
      </c>
      <c r="E49" s="13" t="s">
        <v>304</v>
      </c>
      <c r="F49" s="4" t="s">
        <v>108</v>
      </c>
      <c r="G49" s="3" t="s">
        <v>517</v>
      </c>
      <c r="H49" s="3" t="s">
        <v>56</v>
      </c>
      <c r="I49" s="3">
        <f>VLOOKUP(H49,cardsort_group_IDs!A:B,2,0)</f>
        <v>208</v>
      </c>
      <c r="J49" s="3" t="s">
        <v>59</v>
      </c>
      <c r="K49" s="3">
        <f>VLOOKUP(J49,cardsort_subgroup_IDs!A:B,2,0)</f>
        <v>318</v>
      </c>
      <c r="L49" s="3">
        <f t="shared" si="3"/>
        <v>3</v>
      </c>
      <c r="M49" s="3">
        <f t="shared" si="4"/>
        <v>1</v>
      </c>
      <c r="N49" s="3">
        <f t="shared" si="5"/>
        <v>2</v>
      </c>
      <c r="O49" s="3">
        <f t="shared" si="2"/>
        <v>3</v>
      </c>
      <c r="P49" s="12" t="s">
        <v>436</v>
      </c>
      <c r="Q49" s="12" t="s">
        <v>507</v>
      </c>
      <c r="R49" t="s">
        <v>512</v>
      </c>
      <c r="S49" s="12" t="s">
        <v>9</v>
      </c>
    </row>
    <row r="50" spans="1:19" ht="60" x14ac:dyDescent="0.25">
      <c r="A50" s="3">
        <v>70</v>
      </c>
      <c r="B50" s="3" t="s">
        <v>109</v>
      </c>
      <c r="C50" s="4" t="s">
        <v>774</v>
      </c>
      <c r="D50" s="12" t="s">
        <v>775</v>
      </c>
      <c r="E50" s="13" t="s">
        <v>776</v>
      </c>
      <c r="F50" s="4" t="s">
        <v>622</v>
      </c>
      <c r="G50" s="3" t="s">
        <v>517</v>
      </c>
      <c r="H50" s="3" t="s">
        <v>30</v>
      </c>
      <c r="I50" s="3">
        <f>VLOOKUP(H50,cardsort_group_IDs!A:B,2,0)</f>
        <v>205</v>
      </c>
      <c r="J50" s="3" t="s">
        <v>35</v>
      </c>
      <c r="K50" s="3">
        <f>VLOOKUP(J50,cardsort_subgroup_IDs!A:B,2,0)</f>
        <v>309</v>
      </c>
      <c r="L50" s="3">
        <f t="shared" si="3"/>
        <v>3</v>
      </c>
      <c r="M50" s="3">
        <f t="shared" si="4"/>
        <v>2</v>
      </c>
      <c r="N50" s="3">
        <f t="shared" si="5"/>
        <v>3</v>
      </c>
      <c r="O50" s="3">
        <f t="shared" si="2"/>
        <v>5</v>
      </c>
      <c r="P50" s="12" t="s">
        <v>436</v>
      </c>
      <c r="Q50" s="12" t="s">
        <v>508</v>
      </c>
      <c r="R50" t="s">
        <v>512</v>
      </c>
      <c r="S50" s="12" t="s">
        <v>777</v>
      </c>
    </row>
    <row r="51" spans="1:19" ht="30" x14ac:dyDescent="0.25">
      <c r="A51" s="3">
        <v>71</v>
      </c>
      <c r="B51" s="3" t="s">
        <v>594</v>
      </c>
      <c r="C51" s="4" t="s">
        <v>92</v>
      </c>
      <c r="D51" s="12" t="s">
        <v>299</v>
      </c>
      <c r="E51" s="13" t="s">
        <v>593</v>
      </c>
      <c r="F51" s="4" t="s">
        <v>592</v>
      </c>
      <c r="G51" s="3" t="s">
        <v>517</v>
      </c>
      <c r="H51" s="3" t="s">
        <v>15</v>
      </c>
      <c r="I51" s="3">
        <f>VLOOKUP(H51,cardsort_group_IDs!A:B,2,0)</f>
        <v>204</v>
      </c>
      <c r="J51" s="3" t="s">
        <v>16</v>
      </c>
      <c r="K51" s="3">
        <f>VLOOKUP(J51,cardsort_subgroup_IDs!A:B,2,0)</f>
        <v>327</v>
      </c>
      <c r="L51" s="3">
        <f t="shared" si="3"/>
        <v>3</v>
      </c>
      <c r="M51" s="3">
        <f t="shared" si="4"/>
        <v>1</v>
      </c>
      <c r="N51" s="3">
        <f t="shared" si="5"/>
        <v>3</v>
      </c>
      <c r="O51" s="3">
        <f t="shared" si="2"/>
        <v>4</v>
      </c>
      <c r="P51" s="12" t="s">
        <v>436</v>
      </c>
      <c r="Q51" s="12" t="s">
        <v>507</v>
      </c>
      <c r="R51" t="s">
        <v>511</v>
      </c>
      <c r="S51" s="12" t="s">
        <v>9</v>
      </c>
    </row>
    <row r="52" spans="1:19" ht="30" x14ac:dyDescent="0.25">
      <c r="A52" s="3">
        <v>72</v>
      </c>
      <c r="B52" s="4" t="s">
        <v>600</v>
      </c>
      <c r="C52" s="4" t="s">
        <v>9</v>
      </c>
      <c r="D52" s="12" t="s">
        <v>299</v>
      </c>
      <c r="E52" s="13" t="s">
        <v>301</v>
      </c>
      <c r="F52" s="4" t="s">
        <v>609</v>
      </c>
      <c r="G52" s="3" t="s">
        <v>517</v>
      </c>
      <c r="H52" s="3" t="s">
        <v>10</v>
      </c>
      <c r="I52" s="3">
        <f>VLOOKUP(H52,cardsort_group_IDs!A:B,2,0)</f>
        <v>201</v>
      </c>
      <c r="J52" s="3" t="s">
        <v>110</v>
      </c>
      <c r="K52" s="3">
        <f>VLOOKUP(J52,cardsort_subgroup_IDs!A:B,2,0)</f>
        <v>329</v>
      </c>
      <c r="L52" s="3">
        <f t="shared" si="3"/>
        <v>3</v>
      </c>
      <c r="M52" s="3">
        <f t="shared" si="4"/>
        <v>1</v>
      </c>
      <c r="N52" s="3">
        <f t="shared" si="5"/>
        <v>2</v>
      </c>
      <c r="O52" s="3">
        <f t="shared" si="2"/>
        <v>3</v>
      </c>
      <c r="P52" s="12" t="s">
        <v>436</v>
      </c>
      <c r="Q52" s="12" t="s">
        <v>506</v>
      </c>
      <c r="R52" t="s">
        <v>511</v>
      </c>
      <c r="S52" s="12" t="s">
        <v>610</v>
      </c>
    </row>
    <row r="53" spans="1:19" ht="75" x14ac:dyDescent="0.25">
      <c r="A53" s="3">
        <v>73</v>
      </c>
      <c r="B53" s="26" t="s">
        <v>111</v>
      </c>
      <c r="C53" s="4" t="s">
        <v>9</v>
      </c>
      <c r="D53" s="12" t="s">
        <v>299</v>
      </c>
      <c r="E53" s="13" t="s">
        <v>301</v>
      </c>
      <c r="F53" s="4" t="s">
        <v>112</v>
      </c>
      <c r="G53" s="3" t="s">
        <v>517</v>
      </c>
      <c r="H53" s="3" t="s">
        <v>21</v>
      </c>
      <c r="I53" s="3">
        <f>VLOOKUP(H53,cardsort_group_IDs!A:B,2,0)</f>
        <v>202</v>
      </c>
      <c r="J53" s="3" t="s">
        <v>113</v>
      </c>
      <c r="K53" s="3">
        <f>VLOOKUP(J53,cardsort_subgroup_IDs!A:B,2,0)</f>
        <v>304</v>
      </c>
      <c r="L53" s="3">
        <f t="shared" si="3"/>
        <v>3</v>
      </c>
      <c r="M53" s="3">
        <f t="shared" si="4"/>
        <v>1</v>
      </c>
      <c r="N53" s="3">
        <f t="shared" si="5"/>
        <v>2</v>
      </c>
      <c r="O53" s="3">
        <f t="shared" si="2"/>
        <v>3</v>
      </c>
      <c r="P53" s="12" t="s">
        <v>436</v>
      </c>
      <c r="Q53" s="12" t="s">
        <v>507</v>
      </c>
      <c r="R53" t="s">
        <v>511</v>
      </c>
      <c r="S53" s="12" t="s">
        <v>9</v>
      </c>
    </row>
    <row r="54" spans="1:19" ht="75" x14ac:dyDescent="0.25">
      <c r="A54" s="3">
        <v>75</v>
      </c>
      <c r="B54" s="3" t="s">
        <v>811</v>
      </c>
      <c r="C54" s="3" t="s">
        <v>624</v>
      </c>
      <c r="D54" s="12" t="s">
        <v>358</v>
      </c>
      <c r="E54" s="13">
        <v>183</v>
      </c>
      <c r="F54" s="4" t="s">
        <v>625</v>
      </c>
      <c r="G54" s="3" t="s">
        <v>517</v>
      </c>
      <c r="H54" s="3" t="s">
        <v>30</v>
      </c>
      <c r="I54" s="3">
        <f>VLOOKUP(H54,cardsort_group_IDs!A:B,2,0)</f>
        <v>205</v>
      </c>
      <c r="J54" s="3" t="s">
        <v>61</v>
      </c>
      <c r="K54" s="3">
        <f>VLOOKUP(J54,cardsort_subgroup_IDs!A:B,2,0)</f>
        <v>319</v>
      </c>
      <c r="L54" s="3">
        <f t="shared" si="3"/>
        <v>3</v>
      </c>
      <c r="M54" s="3">
        <f t="shared" si="4"/>
        <v>1</v>
      </c>
      <c r="N54" s="3">
        <f t="shared" si="5"/>
        <v>1</v>
      </c>
      <c r="O54" s="3">
        <f t="shared" si="2"/>
        <v>2</v>
      </c>
      <c r="P54" s="12" t="s">
        <v>436</v>
      </c>
      <c r="Q54" s="12" t="s">
        <v>507</v>
      </c>
      <c r="R54" t="s">
        <v>513</v>
      </c>
      <c r="S54" s="12" t="s">
        <v>723</v>
      </c>
    </row>
    <row r="55" spans="1:19" ht="60" x14ac:dyDescent="0.25">
      <c r="A55" s="3">
        <v>76</v>
      </c>
      <c r="B55" s="3" t="s">
        <v>714</v>
      </c>
      <c r="D55" s="12" t="s">
        <v>9</v>
      </c>
      <c r="E55" s="13" t="s">
        <v>527</v>
      </c>
      <c r="F55" s="4" t="s">
        <v>633</v>
      </c>
      <c r="G55" s="3" t="s">
        <v>517</v>
      </c>
      <c r="H55" s="3" t="s">
        <v>10</v>
      </c>
      <c r="I55" s="3">
        <f>VLOOKUP(H55,cardsort_group_IDs!A:B,2,0)</f>
        <v>201</v>
      </c>
      <c r="J55" s="3" t="s">
        <v>88</v>
      </c>
      <c r="K55" s="3">
        <f>VLOOKUP(J55,cardsort_subgroup_IDs!A:B,2,0)</f>
        <v>324</v>
      </c>
      <c r="L55" s="3">
        <f t="shared" si="3"/>
        <v>1</v>
      </c>
      <c r="M55" s="3">
        <f t="shared" si="4"/>
        <v>0</v>
      </c>
      <c r="N55" s="3">
        <f t="shared" si="5"/>
        <v>2</v>
      </c>
      <c r="O55" s="3">
        <f t="shared" si="2"/>
        <v>2</v>
      </c>
      <c r="P55" s="12" t="s">
        <v>436</v>
      </c>
      <c r="Q55" s="12" t="s">
        <v>507</v>
      </c>
      <c r="R55" t="s">
        <v>511</v>
      </c>
      <c r="S55" s="12" t="s">
        <v>9</v>
      </c>
    </row>
    <row r="56" spans="1:19" ht="30" x14ac:dyDescent="0.25">
      <c r="A56" s="3">
        <v>78</v>
      </c>
      <c r="B56" s="18" t="s">
        <v>114</v>
      </c>
      <c r="C56" s="4" t="s">
        <v>115</v>
      </c>
      <c r="D56" s="12" t="s">
        <v>467</v>
      </c>
      <c r="E56" s="13" t="s">
        <v>849</v>
      </c>
      <c r="F56" s="4" t="s">
        <v>634</v>
      </c>
      <c r="G56" s="3" t="s">
        <v>516</v>
      </c>
      <c r="H56" s="3" t="s">
        <v>366</v>
      </c>
      <c r="I56" s="3">
        <f>VLOOKUP(H56,cardsort_group_IDs!A:B,2,0)</f>
        <v>203</v>
      </c>
      <c r="J56" s="4" t="s">
        <v>47</v>
      </c>
      <c r="K56" s="3">
        <f>VLOOKUP(J56,cardsort_subgroup_IDs!A:B,2,0)</f>
        <v>313</v>
      </c>
      <c r="L56" s="3">
        <f t="shared" ref="L56:L99" si="6">IF(E56="-",0,1)+IF(D56="-",0,2)</f>
        <v>3</v>
      </c>
      <c r="M56" s="3">
        <f t="shared" si="4"/>
        <v>6</v>
      </c>
      <c r="N56" s="3">
        <f t="shared" si="5"/>
        <v>6</v>
      </c>
      <c r="O56" s="3">
        <f t="shared" ref="O56:O99" si="7">SUM(M56:N56)</f>
        <v>12</v>
      </c>
      <c r="P56" s="12" t="s">
        <v>93</v>
      </c>
      <c r="Q56" s="12" t="s">
        <v>506</v>
      </c>
      <c r="R56" t="s">
        <v>512</v>
      </c>
      <c r="S56" s="12" t="s">
        <v>9</v>
      </c>
    </row>
    <row r="57" spans="1:19" ht="90" x14ac:dyDescent="0.25">
      <c r="A57" s="3">
        <v>79</v>
      </c>
      <c r="B57" s="18" t="s">
        <v>116</v>
      </c>
      <c r="C57" s="4" t="s">
        <v>9</v>
      </c>
      <c r="D57" s="12" t="s">
        <v>298</v>
      </c>
      <c r="E57" s="13" t="s">
        <v>528</v>
      </c>
      <c r="F57" s="4" t="s">
        <v>117</v>
      </c>
      <c r="G57" s="3" t="s">
        <v>516</v>
      </c>
      <c r="H57" s="3" t="s">
        <v>56</v>
      </c>
      <c r="I57" s="3">
        <f>VLOOKUP(H57,cardsort_group_IDs!A:B,2,0)</f>
        <v>208</v>
      </c>
      <c r="J57" s="3" t="s">
        <v>59</v>
      </c>
      <c r="K57" s="3">
        <f>VLOOKUP(J57,cardsort_subgroup_IDs!A:B,2,0)</f>
        <v>318</v>
      </c>
      <c r="L57" s="3">
        <f t="shared" si="6"/>
        <v>3</v>
      </c>
      <c r="M57" s="3">
        <f t="shared" si="4"/>
        <v>1</v>
      </c>
      <c r="N57" s="3">
        <f t="shared" si="5"/>
        <v>3</v>
      </c>
      <c r="O57" s="3">
        <f t="shared" si="7"/>
        <v>4</v>
      </c>
      <c r="P57" s="12" t="s">
        <v>93</v>
      </c>
      <c r="Q57" s="12" t="s">
        <v>507</v>
      </c>
      <c r="R57" t="s">
        <v>512</v>
      </c>
      <c r="S57" s="12" t="s">
        <v>9</v>
      </c>
    </row>
    <row r="58" spans="1:19" ht="105" x14ac:dyDescent="0.25">
      <c r="A58" s="3">
        <v>80</v>
      </c>
      <c r="B58" s="18" t="s">
        <v>118</v>
      </c>
      <c r="C58" s="4" t="s">
        <v>9</v>
      </c>
      <c r="D58" s="12" t="s">
        <v>9</v>
      </c>
      <c r="E58" s="13">
        <v>514</v>
      </c>
      <c r="F58" s="4" t="s">
        <v>119</v>
      </c>
      <c r="G58" s="3" t="s">
        <v>516</v>
      </c>
      <c r="H58" s="3" t="s">
        <v>56</v>
      </c>
      <c r="I58" s="3">
        <f>VLOOKUP(H58,cardsort_group_IDs!A:B,2,0)</f>
        <v>208</v>
      </c>
      <c r="J58" s="3" t="s">
        <v>838</v>
      </c>
      <c r="K58" s="3">
        <f>VLOOKUP(J58,cardsort_subgroup_IDs!A:B,2,0)</f>
        <v>317</v>
      </c>
      <c r="L58" s="3">
        <f t="shared" si="6"/>
        <v>1</v>
      </c>
      <c r="M58" s="3">
        <f t="shared" ref="M58:M85" si="8">IF(D58="-",0,LEN(D58)-LEN(SUBSTITUTE(D58,";",""))+1)</f>
        <v>0</v>
      </c>
      <c r="N58" s="3">
        <f t="shared" ref="N58:N85" si="9">IF(E58="-",0,LEN(E58)-LEN(SUBSTITUTE(E58,";",""))+1)</f>
        <v>1</v>
      </c>
      <c r="O58" s="3">
        <f t="shared" si="7"/>
        <v>1</v>
      </c>
      <c r="P58" s="12" t="s">
        <v>436</v>
      </c>
      <c r="Q58" s="12" t="s">
        <v>508</v>
      </c>
      <c r="R58" t="s">
        <v>512</v>
      </c>
      <c r="S58" s="12" t="s">
        <v>9</v>
      </c>
    </row>
    <row r="59" spans="1:19" ht="45" x14ac:dyDescent="0.25">
      <c r="A59" s="3">
        <v>82</v>
      </c>
      <c r="B59" s="18" t="s">
        <v>812</v>
      </c>
      <c r="C59" s="4" t="s">
        <v>120</v>
      </c>
      <c r="D59" s="12" t="s">
        <v>9</v>
      </c>
      <c r="E59" s="13">
        <v>514</v>
      </c>
      <c r="F59" s="4" t="s">
        <v>121</v>
      </c>
      <c r="G59" s="3" t="s">
        <v>517</v>
      </c>
      <c r="H59" s="3" t="s">
        <v>10</v>
      </c>
      <c r="I59" s="3">
        <f>VLOOKUP(H59,cardsort_group_IDs!A:B,2,0)</f>
        <v>201</v>
      </c>
      <c r="J59" s="3" t="s">
        <v>110</v>
      </c>
      <c r="K59" s="3">
        <f>VLOOKUP(J59,cardsort_subgroup_IDs!A:B,2,0)</f>
        <v>329</v>
      </c>
      <c r="L59" s="3">
        <f t="shared" si="6"/>
        <v>1</v>
      </c>
      <c r="M59" s="3">
        <f t="shared" si="8"/>
        <v>0</v>
      </c>
      <c r="N59" s="3">
        <f t="shared" si="9"/>
        <v>1</v>
      </c>
      <c r="O59" s="3">
        <f t="shared" si="7"/>
        <v>1</v>
      </c>
      <c r="P59" s="12" t="s">
        <v>436</v>
      </c>
      <c r="Q59" s="12" t="s">
        <v>507</v>
      </c>
      <c r="R59" t="s">
        <v>511</v>
      </c>
      <c r="S59" s="12" t="s">
        <v>9</v>
      </c>
    </row>
    <row r="60" spans="1:19" ht="45" x14ac:dyDescent="0.25">
      <c r="A60" s="3">
        <v>83</v>
      </c>
      <c r="B60" s="4" t="s">
        <v>122</v>
      </c>
      <c r="C60" s="4" t="s">
        <v>463</v>
      </c>
      <c r="D60" s="12" t="s">
        <v>464</v>
      </c>
      <c r="E60" s="13" t="s">
        <v>527</v>
      </c>
      <c r="F60" s="4" t="s">
        <v>123</v>
      </c>
      <c r="G60" s="3" t="s">
        <v>517</v>
      </c>
      <c r="H60" s="3" t="s">
        <v>366</v>
      </c>
      <c r="I60" s="3">
        <f>VLOOKUP(H60,cardsort_group_IDs!A:B,2,0)</f>
        <v>203</v>
      </c>
      <c r="J60" s="3" t="s">
        <v>99</v>
      </c>
      <c r="K60" s="3">
        <f>VLOOKUP(J60,cardsort_subgroup_IDs!A:B,2,0)</f>
        <v>328</v>
      </c>
      <c r="L60" s="3">
        <f t="shared" si="6"/>
        <v>3</v>
      </c>
      <c r="M60" s="3">
        <f t="shared" si="8"/>
        <v>3</v>
      </c>
      <c r="N60" s="3">
        <f t="shared" si="9"/>
        <v>2</v>
      </c>
      <c r="O60" s="3">
        <f t="shared" si="7"/>
        <v>5</v>
      </c>
      <c r="P60" s="12" t="s">
        <v>93</v>
      </c>
      <c r="Q60" s="12" t="s">
        <v>507</v>
      </c>
      <c r="R60" t="s">
        <v>511</v>
      </c>
      <c r="S60" s="12" t="s">
        <v>610</v>
      </c>
    </row>
    <row r="61" spans="1:19" ht="90" x14ac:dyDescent="0.25">
      <c r="A61" s="3">
        <v>87</v>
      </c>
      <c r="B61" s="3" t="s">
        <v>124</v>
      </c>
      <c r="C61" s="4" t="s">
        <v>9</v>
      </c>
      <c r="D61" s="12" t="s">
        <v>573</v>
      </c>
      <c r="E61" s="13" t="s">
        <v>830</v>
      </c>
      <c r="F61" s="4" t="s">
        <v>596</v>
      </c>
      <c r="G61" s="3" t="s">
        <v>517</v>
      </c>
      <c r="H61" s="3" t="s">
        <v>15</v>
      </c>
      <c r="I61" s="3">
        <f>VLOOKUP(H61,cardsort_group_IDs!A:B,2,0)</f>
        <v>204</v>
      </c>
      <c r="J61" s="3" t="s">
        <v>24</v>
      </c>
      <c r="K61" s="3">
        <f>VLOOKUP(J61,cardsort_subgroup_IDs!A:B,2,0)</f>
        <v>306</v>
      </c>
      <c r="L61" s="3">
        <f t="shared" si="6"/>
        <v>3</v>
      </c>
      <c r="M61" s="3">
        <f t="shared" si="8"/>
        <v>2</v>
      </c>
      <c r="N61" s="3">
        <f t="shared" si="9"/>
        <v>3</v>
      </c>
      <c r="O61" s="3">
        <f t="shared" si="7"/>
        <v>5</v>
      </c>
      <c r="P61" s="12" t="s">
        <v>436</v>
      </c>
      <c r="Q61" s="12" t="s">
        <v>507</v>
      </c>
      <c r="R61" t="s">
        <v>512</v>
      </c>
      <c r="S61" s="12" t="s">
        <v>598</v>
      </c>
    </row>
    <row r="62" spans="1:19" ht="60" x14ac:dyDescent="0.25">
      <c r="A62" s="3">
        <v>88</v>
      </c>
      <c r="B62" s="3" t="s">
        <v>715</v>
      </c>
      <c r="C62" s="4" t="s">
        <v>716</v>
      </c>
      <c r="D62" s="10" t="s">
        <v>575</v>
      </c>
      <c r="E62" s="13" t="s">
        <v>287</v>
      </c>
      <c r="F62" s="4" t="s">
        <v>717</v>
      </c>
      <c r="G62" s="3" t="s">
        <v>517</v>
      </c>
      <c r="H62" s="3" t="s">
        <v>30</v>
      </c>
      <c r="I62" s="3">
        <f>VLOOKUP(H62,cardsort_group_IDs!A:B,2,0)</f>
        <v>205</v>
      </c>
      <c r="J62" s="3" t="s">
        <v>61</v>
      </c>
      <c r="K62" s="3">
        <f>VLOOKUP(J62,cardsort_subgroup_IDs!A:B,2,0)</f>
        <v>319</v>
      </c>
      <c r="L62" s="3">
        <f t="shared" si="6"/>
        <v>3</v>
      </c>
      <c r="M62" s="3">
        <f t="shared" si="8"/>
        <v>2</v>
      </c>
      <c r="N62" s="3">
        <f t="shared" si="9"/>
        <v>2</v>
      </c>
      <c r="O62" s="3">
        <f t="shared" si="7"/>
        <v>4</v>
      </c>
      <c r="P62" s="12" t="s">
        <v>436</v>
      </c>
      <c r="Q62" s="12" t="s">
        <v>508</v>
      </c>
      <c r="R62" t="s">
        <v>512</v>
      </c>
      <c r="S62" s="12" t="s">
        <v>9</v>
      </c>
    </row>
    <row r="63" spans="1:19" ht="75" x14ac:dyDescent="0.25">
      <c r="A63" s="3">
        <v>89</v>
      </c>
      <c r="B63" s="3" t="s">
        <v>125</v>
      </c>
      <c r="C63" s="4" t="s">
        <v>603</v>
      </c>
      <c r="D63" s="12" t="s">
        <v>601</v>
      </c>
      <c r="E63" s="13" t="s">
        <v>651</v>
      </c>
      <c r="F63" s="4" t="s">
        <v>604</v>
      </c>
      <c r="G63" s="3" t="s">
        <v>517</v>
      </c>
      <c r="H63" s="3" t="s">
        <v>30</v>
      </c>
      <c r="I63" s="3">
        <f>VLOOKUP(H63,cardsort_group_IDs!A:B,2,0)</f>
        <v>205</v>
      </c>
      <c r="J63" s="3" t="s">
        <v>61</v>
      </c>
      <c r="K63" s="3">
        <f>VLOOKUP(J63,cardsort_subgroup_IDs!A:B,2,0)</f>
        <v>319</v>
      </c>
      <c r="L63" s="3">
        <f t="shared" si="6"/>
        <v>3</v>
      </c>
      <c r="M63" s="3">
        <f t="shared" si="8"/>
        <v>4</v>
      </c>
      <c r="N63" s="3">
        <f t="shared" si="9"/>
        <v>4</v>
      </c>
      <c r="O63" s="3">
        <f t="shared" si="7"/>
        <v>8</v>
      </c>
      <c r="P63" s="12" t="s">
        <v>602</v>
      </c>
      <c r="Q63" s="12" t="s">
        <v>507</v>
      </c>
      <c r="R63" t="s">
        <v>512</v>
      </c>
      <c r="S63" s="12" t="s">
        <v>9</v>
      </c>
    </row>
    <row r="64" spans="1:19" ht="75" x14ac:dyDescent="0.25">
      <c r="A64" s="3">
        <v>90</v>
      </c>
      <c r="B64" s="3" t="s">
        <v>126</v>
      </c>
      <c r="C64" s="4" t="s">
        <v>458</v>
      </c>
      <c r="D64" s="12" t="s">
        <v>459</v>
      </c>
      <c r="E64" s="13" t="s">
        <v>831</v>
      </c>
      <c r="F64" s="4" t="s">
        <v>718</v>
      </c>
      <c r="G64" s="3" t="s">
        <v>516</v>
      </c>
      <c r="H64" s="3" t="s">
        <v>30</v>
      </c>
      <c r="I64" s="3">
        <f>VLOOKUP(H64,cardsort_group_IDs!A:B,2,0)</f>
        <v>205</v>
      </c>
      <c r="J64" s="3" t="s">
        <v>61</v>
      </c>
      <c r="K64" s="3">
        <f>VLOOKUP(J64,cardsort_subgroup_IDs!A:B,2,0)</f>
        <v>319</v>
      </c>
      <c r="L64" s="3">
        <f t="shared" si="6"/>
        <v>3</v>
      </c>
      <c r="M64" s="3">
        <f t="shared" si="8"/>
        <v>4</v>
      </c>
      <c r="N64" s="3">
        <f t="shared" si="9"/>
        <v>11</v>
      </c>
      <c r="O64" s="3">
        <f t="shared" si="7"/>
        <v>15</v>
      </c>
      <c r="P64" s="12" t="s">
        <v>93</v>
      </c>
      <c r="Q64" s="12" t="s">
        <v>508</v>
      </c>
      <c r="R64" t="s">
        <v>513</v>
      </c>
      <c r="S64" s="12" t="s">
        <v>9</v>
      </c>
    </row>
    <row r="65" spans="1:19" ht="45" x14ac:dyDescent="0.25">
      <c r="A65" s="3">
        <v>91</v>
      </c>
      <c r="B65" s="18" t="s">
        <v>127</v>
      </c>
      <c r="C65" s="4" t="s">
        <v>165</v>
      </c>
      <c r="D65" s="12" t="s">
        <v>294</v>
      </c>
      <c r="E65" s="13" t="s">
        <v>379</v>
      </c>
      <c r="F65" s="4" t="s">
        <v>128</v>
      </c>
      <c r="G65" s="3" t="s">
        <v>516</v>
      </c>
      <c r="H65" s="3" t="s">
        <v>15</v>
      </c>
      <c r="I65" s="3">
        <f>VLOOKUP(H65,cardsort_group_IDs!A:B,2,0)</f>
        <v>204</v>
      </c>
      <c r="J65" s="3" t="s">
        <v>66</v>
      </c>
      <c r="K65" s="3">
        <f>VLOOKUP(J65,cardsort_subgroup_IDs!A:B,2,0)</f>
        <v>320</v>
      </c>
      <c r="L65" s="3">
        <f t="shared" si="6"/>
        <v>3</v>
      </c>
      <c r="M65" s="3">
        <f t="shared" si="8"/>
        <v>1</v>
      </c>
      <c r="N65" s="3">
        <f t="shared" si="9"/>
        <v>3</v>
      </c>
      <c r="O65" s="3">
        <f t="shared" si="7"/>
        <v>4</v>
      </c>
      <c r="P65" s="12" t="s">
        <v>436</v>
      </c>
      <c r="Q65" s="12" t="s">
        <v>508</v>
      </c>
      <c r="R65" t="s">
        <v>511</v>
      </c>
      <c r="S65" s="12" t="s">
        <v>9</v>
      </c>
    </row>
    <row r="66" spans="1:19" ht="30" x14ac:dyDescent="0.25">
      <c r="A66" s="3">
        <v>92</v>
      </c>
      <c r="B66" s="20" t="s">
        <v>129</v>
      </c>
      <c r="C66" s="4" t="s">
        <v>9</v>
      </c>
      <c r="D66" s="12" t="s">
        <v>299</v>
      </c>
      <c r="E66" s="13" t="s">
        <v>301</v>
      </c>
      <c r="F66" s="5" t="s">
        <v>130</v>
      </c>
      <c r="G66" s="3" t="s">
        <v>516</v>
      </c>
      <c r="H66" s="3" t="s">
        <v>42</v>
      </c>
      <c r="I66" s="3">
        <f>VLOOKUP(H66,cardsort_group_IDs!A:B,2,0)</f>
        <v>206</v>
      </c>
      <c r="J66" s="3" t="s">
        <v>91</v>
      </c>
      <c r="K66" s="3">
        <f>VLOOKUP(J66,cardsort_subgroup_IDs!A:B,2,0)</f>
        <v>326</v>
      </c>
      <c r="L66" s="3">
        <f t="shared" si="6"/>
        <v>3</v>
      </c>
      <c r="M66" s="3">
        <f t="shared" si="8"/>
        <v>1</v>
      </c>
      <c r="N66" s="3">
        <f t="shared" si="9"/>
        <v>2</v>
      </c>
      <c r="O66" s="3">
        <f t="shared" si="7"/>
        <v>3</v>
      </c>
      <c r="P66" s="12" t="s">
        <v>436</v>
      </c>
      <c r="Q66" s="12" t="s">
        <v>508</v>
      </c>
      <c r="R66" t="s">
        <v>511</v>
      </c>
      <c r="S66" s="12" t="s">
        <v>9</v>
      </c>
    </row>
    <row r="67" spans="1:19" ht="30" x14ac:dyDescent="0.25">
      <c r="A67" s="3">
        <v>93</v>
      </c>
      <c r="B67" s="21" t="s">
        <v>131</v>
      </c>
      <c r="C67" s="5" t="s">
        <v>9</v>
      </c>
      <c r="D67" s="12" t="s">
        <v>9</v>
      </c>
      <c r="E67" s="13">
        <v>514</v>
      </c>
      <c r="F67" s="4" t="s">
        <v>132</v>
      </c>
      <c r="G67" s="3" t="s">
        <v>517</v>
      </c>
      <c r="H67" s="3" t="s">
        <v>10</v>
      </c>
      <c r="I67" s="3">
        <f>VLOOKUP(H67,cardsort_group_IDs!A:B,2,0)</f>
        <v>201</v>
      </c>
      <c r="J67" s="3" t="s">
        <v>17</v>
      </c>
      <c r="K67" s="3">
        <f>VLOOKUP(J67,cardsort_subgroup_IDs!A:B,2,0)</f>
        <v>302</v>
      </c>
      <c r="L67" s="3">
        <f t="shared" si="6"/>
        <v>1</v>
      </c>
      <c r="M67" s="3">
        <f t="shared" si="8"/>
        <v>0</v>
      </c>
      <c r="N67" s="3">
        <f t="shared" si="9"/>
        <v>1</v>
      </c>
      <c r="O67" s="3">
        <f t="shared" si="7"/>
        <v>1</v>
      </c>
      <c r="P67" s="12" t="s">
        <v>436</v>
      </c>
      <c r="Q67" s="12" t="s">
        <v>507</v>
      </c>
      <c r="R67" t="s">
        <v>512</v>
      </c>
      <c r="S67" s="12" t="s">
        <v>9</v>
      </c>
    </row>
    <row r="68" spans="1:19" ht="45" x14ac:dyDescent="0.25">
      <c r="A68" s="3">
        <v>94</v>
      </c>
      <c r="B68" s="3" t="s">
        <v>133</v>
      </c>
      <c r="C68" s="4" t="s">
        <v>166</v>
      </c>
      <c r="D68" s="12" t="s">
        <v>308</v>
      </c>
      <c r="E68" s="13" t="s">
        <v>307</v>
      </c>
      <c r="F68" s="4" t="s">
        <v>617</v>
      </c>
      <c r="G68" s="3" t="s">
        <v>517</v>
      </c>
      <c r="H68" s="3" t="s">
        <v>56</v>
      </c>
      <c r="I68" s="3">
        <f>VLOOKUP(H68,cardsort_group_IDs!A:B,2,0)</f>
        <v>208</v>
      </c>
      <c r="J68" s="3" t="s">
        <v>59</v>
      </c>
      <c r="K68" s="3">
        <f>VLOOKUP(J68,cardsort_subgroup_IDs!A:B,2,0)</f>
        <v>318</v>
      </c>
      <c r="L68" s="3">
        <f t="shared" si="6"/>
        <v>3</v>
      </c>
      <c r="M68" s="3">
        <f t="shared" si="8"/>
        <v>2</v>
      </c>
      <c r="N68" s="3">
        <f t="shared" si="9"/>
        <v>2</v>
      </c>
      <c r="O68" s="3">
        <f t="shared" si="7"/>
        <v>4</v>
      </c>
      <c r="P68" s="12" t="s">
        <v>436</v>
      </c>
      <c r="Q68" s="12" t="s">
        <v>507</v>
      </c>
      <c r="R68" t="s">
        <v>512</v>
      </c>
      <c r="S68" s="12" t="s">
        <v>620</v>
      </c>
    </row>
    <row r="69" spans="1:19" ht="105" x14ac:dyDescent="0.25">
      <c r="A69" s="3">
        <v>95</v>
      </c>
      <c r="B69" s="3" t="s">
        <v>737</v>
      </c>
      <c r="C69" s="4" t="s">
        <v>724</v>
      </c>
      <c r="D69" s="13" t="s">
        <v>358</v>
      </c>
      <c r="E69" s="13" t="s">
        <v>9</v>
      </c>
      <c r="F69" s="4" t="s">
        <v>722</v>
      </c>
      <c r="G69" s="3" t="s">
        <v>519</v>
      </c>
      <c r="H69" s="3" t="s">
        <v>21</v>
      </c>
      <c r="I69" s="3">
        <f>VLOOKUP(H69,cardsort_group_IDs!A:B,2,0)</f>
        <v>202</v>
      </c>
      <c r="J69" s="3" t="s">
        <v>113</v>
      </c>
      <c r="K69" s="3">
        <f>VLOOKUP(J69,cardsort_subgroup_IDs!A:B,2,0)</f>
        <v>304</v>
      </c>
      <c r="L69" s="3">
        <f>IF(E69="-",0,1)+IF(D69="-",0,2)</f>
        <v>2</v>
      </c>
      <c r="M69" s="3">
        <f>IF(D69="-",0,LEN(D69)-LEN(SUBSTITUTE(D69,";",""))+1)</f>
        <v>1</v>
      </c>
      <c r="N69" s="3">
        <f>IF(E69="-",0,LEN(E69)-LEN(SUBSTITUTE(E69,";",""))+1)</f>
        <v>0</v>
      </c>
      <c r="O69" s="3">
        <f>SUM(M69:N69)</f>
        <v>1</v>
      </c>
      <c r="P69" s="12" t="s">
        <v>436</v>
      </c>
      <c r="Q69" s="12" t="s">
        <v>508</v>
      </c>
      <c r="R69" t="s">
        <v>511</v>
      </c>
      <c r="S69" s="12" t="s">
        <v>733</v>
      </c>
    </row>
    <row r="70" spans="1:19" x14ac:dyDescent="0.25">
      <c r="A70" s="3">
        <v>97</v>
      </c>
      <c r="B70" s="18" t="s">
        <v>134</v>
      </c>
      <c r="C70" s="4" t="s">
        <v>9</v>
      </c>
      <c r="D70" s="12" t="s">
        <v>9</v>
      </c>
      <c r="E70" s="13">
        <v>508</v>
      </c>
      <c r="F70" s="4" t="s">
        <v>135</v>
      </c>
      <c r="G70" s="3" t="s">
        <v>517</v>
      </c>
      <c r="H70" s="3" t="s">
        <v>21</v>
      </c>
      <c r="I70" s="3">
        <f>VLOOKUP(H70,cardsort_group_IDs!A:B,2,0)</f>
        <v>202</v>
      </c>
      <c r="J70" s="3" t="s">
        <v>88</v>
      </c>
      <c r="K70" s="3">
        <f>VLOOKUP(J70,cardsort_subgroup_IDs!A:B,2,0)</f>
        <v>324</v>
      </c>
      <c r="L70" s="3">
        <f t="shared" si="6"/>
        <v>1</v>
      </c>
      <c r="M70" s="3">
        <f t="shared" si="8"/>
        <v>0</v>
      </c>
      <c r="N70" s="3">
        <f t="shared" si="9"/>
        <v>1</v>
      </c>
      <c r="O70" s="3">
        <f t="shared" si="7"/>
        <v>1</v>
      </c>
      <c r="P70" s="12" t="s">
        <v>436</v>
      </c>
      <c r="Q70" s="12" t="s">
        <v>508</v>
      </c>
      <c r="R70" t="s">
        <v>512</v>
      </c>
      <c r="S70" s="12" t="s">
        <v>9</v>
      </c>
    </row>
    <row r="71" spans="1:19" ht="30" x14ac:dyDescent="0.25">
      <c r="A71" s="3">
        <v>98</v>
      </c>
      <c r="B71" s="3" t="s">
        <v>719</v>
      </c>
      <c r="C71" s="4" t="s">
        <v>167</v>
      </c>
      <c r="D71" s="10">
        <v>209</v>
      </c>
      <c r="E71" s="13">
        <v>506</v>
      </c>
      <c r="F71" s="4" t="s">
        <v>136</v>
      </c>
      <c r="G71" s="3" t="s">
        <v>517</v>
      </c>
      <c r="H71" s="3" t="s">
        <v>10</v>
      </c>
      <c r="I71" s="3">
        <f>VLOOKUP(H71,cardsort_group_IDs!A:B,2,0)</f>
        <v>201</v>
      </c>
      <c r="J71" s="3" t="s">
        <v>110</v>
      </c>
      <c r="K71" s="3">
        <f>VLOOKUP(J71,cardsort_subgroup_IDs!A:B,2,0)</f>
        <v>329</v>
      </c>
      <c r="L71" s="3">
        <f t="shared" si="6"/>
        <v>3</v>
      </c>
      <c r="M71" s="3">
        <f t="shared" si="8"/>
        <v>1</v>
      </c>
      <c r="N71" s="3">
        <f t="shared" si="9"/>
        <v>1</v>
      </c>
      <c r="O71" s="3">
        <f t="shared" si="7"/>
        <v>2</v>
      </c>
      <c r="P71" s="12" t="s">
        <v>436</v>
      </c>
      <c r="Q71" s="12" t="s">
        <v>507</v>
      </c>
      <c r="R71" t="s">
        <v>512</v>
      </c>
      <c r="S71" s="12" t="s">
        <v>9</v>
      </c>
    </row>
    <row r="72" spans="1:19" x14ac:dyDescent="0.25">
      <c r="A72" s="3">
        <v>99</v>
      </c>
      <c r="B72" s="3" t="s">
        <v>720</v>
      </c>
      <c r="C72" s="4" t="s">
        <v>9</v>
      </c>
      <c r="D72" s="12" t="s">
        <v>9</v>
      </c>
      <c r="E72" s="13">
        <v>508</v>
      </c>
      <c r="F72" s="4" t="s">
        <v>721</v>
      </c>
      <c r="G72" s="3" t="s">
        <v>517</v>
      </c>
      <c r="H72" s="3" t="s">
        <v>10</v>
      </c>
      <c r="I72" s="3">
        <f>VLOOKUP(H72,cardsort_group_IDs!A:B,2,0)</f>
        <v>201</v>
      </c>
      <c r="J72" s="3" t="s">
        <v>88</v>
      </c>
      <c r="K72" s="3">
        <f>VLOOKUP(J72,cardsort_subgroup_IDs!A:B,2,0)</f>
        <v>324</v>
      </c>
      <c r="L72" s="3">
        <f t="shared" si="6"/>
        <v>1</v>
      </c>
      <c r="M72" s="3">
        <f t="shared" si="8"/>
        <v>0</v>
      </c>
      <c r="N72" s="3">
        <f t="shared" si="9"/>
        <v>1</v>
      </c>
      <c r="O72" s="3">
        <f t="shared" si="7"/>
        <v>1</v>
      </c>
      <c r="P72" s="12" t="s">
        <v>436</v>
      </c>
      <c r="Q72" s="12" t="s">
        <v>507</v>
      </c>
      <c r="R72" t="s">
        <v>512</v>
      </c>
      <c r="S72" s="12" t="s">
        <v>9</v>
      </c>
    </row>
    <row r="73" spans="1:19" x14ac:dyDescent="0.25">
      <c r="A73" s="3">
        <v>100</v>
      </c>
      <c r="B73" s="18" t="s">
        <v>137</v>
      </c>
      <c r="C73" s="4" t="s">
        <v>9</v>
      </c>
      <c r="D73" s="12" t="s">
        <v>9</v>
      </c>
      <c r="E73" s="13">
        <v>514</v>
      </c>
      <c r="F73" s="4" t="s">
        <v>138</v>
      </c>
      <c r="G73" s="3" t="s">
        <v>517</v>
      </c>
      <c r="H73" s="3" t="s">
        <v>10</v>
      </c>
      <c r="I73" s="3">
        <f>VLOOKUP(H73,cardsort_group_IDs!A:B,2,0)</f>
        <v>201</v>
      </c>
      <c r="J73" s="3" t="s">
        <v>88</v>
      </c>
      <c r="K73" s="3">
        <f>VLOOKUP(J73,cardsort_subgroup_IDs!A:B,2,0)</f>
        <v>324</v>
      </c>
      <c r="L73" s="3">
        <f t="shared" si="6"/>
        <v>1</v>
      </c>
      <c r="M73" s="3">
        <f t="shared" si="8"/>
        <v>0</v>
      </c>
      <c r="N73" s="3">
        <f t="shared" si="9"/>
        <v>1</v>
      </c>
      <c r="O73" s="3">
        <f t="shared" si="7"/>
        <v>1</v>
      </c>
      <c r="P73" s="12" t="s">
        <v>436</v>
      </c>
      <c r="Q73" s="12" t="s">
        <v>507</v>
      </c>
      <c r="R73" t="s">
        <v>512</v>
      </c>
      <c r="S73" s="12" t="s">
        <v>9</v>
      </c>
    </row>
    <row r="74" spans="1:19" ht="90" x14ac:dyDescent="0.25">
      <c r="A74" s="3">
        <v>102</v>
      </c>
      <c r="B74" s="3" t="s">
        <v>626</v>
      </c>
      <c r="C74" s="3" t="s">
        <v>139</v>
      </c>
      <c r="D74" s="12" t="s">
        <v>631</v>
      </c>
      <c r="E74" s="13">
        <v>501</v>
      </c>
      <c r="F74" s="4" t="s">
        <v>627</v>
      </c>
      <c r="G74" s="3" t="s">
        <v>519</v>
      </c>
      <c r="H74" s="3" t="s">
        <v>15</v>
      </c>
      <c r="I74" s="3">
        <f>VLOOKUP(H74,cardsort_group_IDs!A:B,2,0)</f>
        <v>204</v>
      </c>
      <c r="J74" s="3" t="s">
        <v>66</v>
      </c>
      <c r="K74" s="3">
        <f>VLOOKUP(J74,cardsort_subgroup_IDs!A:B,2,0)</f>
        <v>320</v>
      </c>
      <c r="L74" s="3">
        <f t="shared" si="6"/>
        <v>3</v>
      </c>
      <c r="M74" s="3">
        <f t="shared" si="8"/>
        <v>2</v>
      </c>
      <c r="N74" s="3">
        <f t="shared" si="9"/>
        <v>1</v>
      </c>
      <c r="O74" s="3">
        <f t="shared" si="7"/>
        <v>3</v>
      </c>
      <c r="P74" s="12" t="s">
        <v>436</v>
      </c>
      <c r="Q74" s="12" t="s">
        <v>506</v>
      </c>
      <c r="R74" t="s">
        <v>511</v>
      </c>
      <c r="S74" s="12" t="s">
        <v>9</v>
      </c>
    </row>
    <row r="75" spans="1:19" ht="75" x14ac:dyDescent="0.25">
      <c r="A75" s="3">
        <v>104</v>
      </c>
      <c r="B75" s="3" t="s">
        <v>725</v>
      </c>
      <c r="C75" s="4" t="s">
        <v>9</v>
      </c>
      <c r="D75" s="12" t="s">
        <v>297</v>
      </c>
      <c r="E75" s="13" t="s">
        <v>9</v>
      </c>
      <c r="F75" s="4" t="s">
        <v>628</v>
      </c>
      <c r="G75" s="3" t="s">
        <v>516</v>
      </c>
      <c r="H75" s="3" t="s">
        <v>366</v>
      </c>
      <c r="I75" s="3">
        <f>VLOOKUP(H75,cardsort_group_IDs!A:B,2,0)</f>
        <v>203</v>
      </c>
      <c r="J75" s="3" t="s">
        <v>71</v>
      </c>
      <c r="K75" s="3">
        <f>VLOOKUP(J75,cardsort_subgroup_IDs!A:B,2,0)</f>
        <v>322</v>
      </c>
      <c r="L75" s="3">
        <f t="shared" si="6"/>
        <v>2</v>
      </c>
      <c r="M75" s="3">
        <f t="shared" si="8"/>
        <v>2</v>
      </c>
      <c r="N75" s="3">
        <f t="shared" si="9"/>
        <v>0</v>
      </c>
      <c r="O75" s="3">
        <f t="shared" si="7"/>
        <v>2</v>
      </c>
      <c r="P75" s="12" t="s">
        <v>436</v>
      </c>
      <c r="Q75" s="12" t="s">
        <v>506</v>
      </c>
      <c r="R75" t="s">
        <v>511</v>
      </c>
      <c r="S75" s="12" t="s">
        <v>9</v>
      </c>
    </row>
    <row r="76" spans="1:19" ht="120" x14ac:dyDescent="0.25">
      <c r="A76" s="3">
        <v>107</v>
      </c>
      <c r="B76" s="27" t="s">
        <v>141</v>
      </c>
      <c r="C76" s="4" t="s">
        <v>9</v>
      </c>
      <c r="D76" s="12" t="s">
        <v>372</v>
      </c>
      <c r="E76" s="13" t="s">
        <v>832</v>
      </c>
      <c r="F76" s="4" t="s">
        <v>142</v>
      </c>
      <c r="G76" s="3" t="s">
        <v>519</v>
      </c>
      <c r="H76" s="3" t="s">
        <v>15</v>
      </c>
      <c r="I76" s="3">
        <f>VLOOKUP(H76,cardsort_group_IDs!A:B,2,0)</f>
        <v>204</v>
      </c>
      <c r="J76" s="3" t="s">
        <v>24</v>
      </c>
      <c r="K76" s="3">
        <f>VLOOKUP(J76,cardsort_subgroup_IDs!A:B,2,0)</f>
        <v>306</v>
      </c>
      <c r="L76" s="3">
        <f t="shared" si="6"/>
        <v>3</v>
      </c>
      <c r="M76" s="3">
        <f t="shared" si="8"/>
        <v>2</v>
      </c>
      <c r="N76" s="3">
        <f t="shared" si="9"/>
        <v>5</v>
      </c>
      <c r="O76" s="3">
        <f t="shared" si="7"/>
        <v>7</v>
      </c>
      <c r="P76" s="12" t="s">
        <v>436</v>
      </c>
      <c r="Q76" s="12" t="s">
        <v>507</v>
      </c>
      <c r="R76" t="s">
        <v>511</v>
      </c>
      <c r="S76" s="12" t="s">
        <v>9</v>
      </c>
    </row>
    <row r="77" spans="1:19" ht="30" x14ac:dyDescent="0.25">
      <c r="A77" s="3">
        <v>108</v>
      </c>
      <c r="B77" s="18" t="s">
        <v>579</v>
      </c>
      <c r="C77" s="4" t="s">
        <v>580</v>
      </c>
      <c r="D77" s="12" t="s">
        <v>643</v>
      </c>
      <c r="E77" s="13" t="s">
        <v>305</v>
      </c>
      <c r="F77" s="4" t="s">
        <v>143</v>
      </c>
      <c r="G77" s="3" t="s">
        <v>517</v>
      </c>
      <c r="H77" s="3" t="s">
        <v>15</v>
      </c>
      <c r="I77" s="3">
        <f>VLOOKUP(H77,cardsort_group_IDs!A:B,2,0)</f>
        <v>204</v>
      </c>
      <c r="J77" s="3" t="s">
        <v>16</v>
      </c>
      <c r="K77" s="3">
        <f>VLOOKUP(J77,cardsort_subgroup_IDs!A:B,2,0)</f>
        <v>327</v>
      </c>
      <c r="L77" s="3">
        <f t="shared" si="6"/>
        <v>3</v>
      </c>
      <c r="M77" s="3">
        <f t="shared" si="8"/>
        <v>5</v>
      </c>
      <c r="N77" s="3">
        <f t="shared" si="9"/>
        <v>3</v>
      </c>
      <c r="O77" s="3">
        <f t="shared" si="7"/>
        <v>8</v>
      </c>
      <c r="P77" s="12" t="s">
        <v>436</v>
      </c>
      <c r="Q77" s="12" t="s">
        <v>507</v>
      </c>
      <c r="R77" t="s">
        <v>512</v>
      </c>
      <c r="S77" s="12" t="s">
        <v>9</v>
      </c>
    </row>
    <row r="78" spans="1:19" ht="90" x14ac:dyDescent="0.25">
      <c r="A78" s="3">
        <v>109</v>
      </c>
      <c r="B78" s="3" t="s">
        <v>728</v>
      </c>
      <c r="C78" s="4" t="s">
        <v>736</v>
      </c>
      <c r="D78" s="13" t="s">
        <v>732</v>
      </c>
      <c r="E78" s="13" t="s">
        <v>309</v>
      </c>
      <c r="F78" s="4" t="s">
        <v>734</v>
      </c>
      <c r="G78" s="3" t="s">
        <v>517</v>
      </c>
      <c r="H78" s="3" t="s">
        <v>21</v>
      </c>
      <c r="I78" s="3">
        <f>VLOOKUP(H78,cardsort_group_IDs!A:B,2,0)</f>
        <v>202</v>
      </c>
      <c r="J78" s="3" t="s">
        <v>113</v>
      </c>
      <c r="K78" s="3">
        <f>VLOOKUP(J78,cardsort_subgroup_IDs!A:B,2,0)</f>
        <v>304</v>
      </c>
      <c r="L78" s="3">
        <f t="shared" si="6"/>
        <v>3</v>
      </c>
      <c r="M78" s="3">
        <f t="shared" si="8"/>
        <v>4</v>
      </c>
      <c r="N78" s="3">
        <f t="shared" si="9"/>
        <v>3</v>
      </c>
      <c r="O78" s="3">
        <f t="shared" si="7"/>
        <v>7</v>
      </c>
      <c r="P78" s="12" t="s">
        <v>436</v>
      </c>
      <c r="Q78" s="12" t="s">
        <v>508</v>
      </c>
      <c r="R78" t="s">
        <v>512</v>
      </c>
      <c r="S78" s="12" t="s">
        <v>735</v>
      </c>
    </row>
    <row r="79" spans="1:19" ht="45" x14ac:dyDescent="0.25">
      <c r="A79" s="3">
        <v>112</v>
      </c>
      <c r="B79" s="3" t="s">
        <v>144</v>
      </c>
      <c r="C79" s="4" t="s">
        <v>9</v>
      </c>
      <c r="D79" s="12" t="s">
        <v>9</v>
      </c>
      <c r="E79" s="13" t="s">
        <v>738</v>
      </c>
      <c r="F79" s="5" t="s">
        <v>739</v>
      </c>
      <c r="G79" s="3" t="s">
        <v>516</v>
      </c>
      <c r="H79" s="3" t="s">
        <v>366</v>
      </c>
      <c r="I79" s="3">
        <f>VLOOKUP(H79,cardsort_group_IDs!A:B,2,0)</f>
        <v>203</v>
      </c>
      <c r="J79" s="3" t="s">
        <v>99</v>
      </c>
      <c r="K79" s="3">
        <f>VLOOKUP(J79,cardsort_subgroup_IDs!A:B,2,0)</f>
        <v>328</v>
      </c>
      <c r="L79" s="3">
        <f t="shared" si="6"/>
        <v>1</v>
      </c>
      <c r="M79" s="3">
        <f t="shared" si="8"/>
        <v>0</v>
      </c>
      <c r="N79" s="3">
        <f t="shared" si="9"/>
        <v>1</v>
      </c>
      <c r="O79" s="3">
        <f t="shared" si="7"/>
        <v>1</v>
      </c>
      <c r="P79" s="12" t="s">
        <v>93</v>
      </c>
      <c r="Q79" s="12" t="s">
        <v>507</v>
      </c>
      <c r="R79" t="s">
        <v>513</v>
      </c>
      <c r="S79" s="12" t="s">
        <v>742</v>
      </c>
    </row>
    <row r="80" spans="1:19" ht="45" x14ac:dyDescent="0.25">
      <c r="A80" s="3">
        <v>113</v>
      </c>
      <c r="B80" s="3" t="s">
        <v>743</v>
      </c>
      <c r="C80" s="4" t="s">
        <v>486</v>
      </c>
      <c r="D80" s="12" t="s">
        <v>9</v>
      </c>
      <c r="E80" s="13" t="s">
        <v>475</v>
      </c>
      <c r="F80" s="5" t="s">
        <v>740</v>
      </c>
      <c r="G80" s="3" t="s">
        <v>517</v>
      </c>
      <c r="H80" s="3" t="s">
        <v>366</v>
      </c>
      <c r="I80" s="3">
        <f>VLOOKUP(H80,cardsort_group_IDs!A:B,2,0)</f>
        <v>203</v>
      </c>
      <c r="J80" s="3" t="s">
        <v>99</v>
      </c>
      <c r="K80" s="3">
        <f>VLOOKUP(J80,cardsort_subgroup_IDs!A:B,2,0)</f>
        <v>328</v>
      </c>
      <c r="L80" s="3">
        <f t="shared" si="6"/>
        <v>1</v>
      </c>
      <c r="M80" s="3">
        <f t="shared" si="8"/>
        <v>0</v>
      </c>
      <c r="N80" s="3">
        <f t="shared" si="9"/>
        <v>1</v>
      </c>
      <c r="O80" s="3">
        <f t="shared" si="7"/>
        <v>1</v>
      </c>
      <c r="P80" s="12" t="s">
        <v>93</v>
      </c>
      <c r="Q80" s="12" t="s">
        <v>507</v>
      </c>
      <c r="R80" t="s">
        <v>511</v>
      </c>
      <c r="S80" s="12" t="s">
        <v>741</v>
      </c>
    </row>
    <row r="81" spans="1:19" ht="150" x14ac:dyDescent="0.25">
      <c r="A81" s="3">
        <v>114</v>
      </c>
      <c r="B81" s="3" t="s">
        <v>623</v>
      </c>
      <c r="C81" s="4" t="s">
        <v>745</v>
      </c>
      <c r="D81" s="13" t="s">
        <v>644</v>
      </c>
      <c r="E81" s="13" t="s">
        <v>851</v>
      </c>
      <c r="F81" s="4" t="s">
        <v>744</v>
      </c>
      <c r="G81" s="3" t="s">
        <v>517</v>
      </c>
      <c r="H81" s="3" t="s">
        <v>46</v>
      </c>
      <c r="I81" s="3">
        <f>VLOOKUP(H81,cardsort_group_IDs!A:B,2,0)</f>
        <v>207</v>
      </c>
      <c r="J81" s="3" t="s">
        <v>837</v>
      </c>
      <c r="K81" s="3">
        <f>VLOOKUP(J81,cardsort_subgroup_IDs!A:B,2,0)</f>
        <v>312</v>
      </c>
      <c r="L81" s="3">
        <f t="shared" si="6"/>
        <v>3</v>
      </c>
      <c r="M81" s="3">
        <f t="shared" si="8"/>
        <v>2</v>
      </c>
      <c r="N81" s="3">
        <f t="shared" si="9"/>
        <v>13</v>
      </c>
      <c r="O81" s="3">
        <f t="shared" si="7"/>
        <v>15</v>
      </c>
      <c r="P81" s="12" t="s">
        <v>93</v>
      </c>
      <c r="Q81" s="12" t="s">
        <v>507</v>
      </c>
      <c r="R81" t="s">
        <v>512</v>
      </c>
      <c r="S81" s="12" t="s">
        <v>9</v>
      </c>
    </row>
    <row r="82" spans="1:19" ht="90" x14ac:dyDescent="0.25">
      <c r="A82" s="3">
        <v>115</v>
      </c>
      <c r="B82" s="3" t="s">
        <v>146</v>
      </c>
      <c r="C82" s="4" t="s">
        <v>747</v>
      </c>
      <c r="D82" s="12" t="s">
        <v>9</v>
      </c>
      <c r="E82" s="13">
        <v>183</v>
      </c>
      <c r="F82" s="4" t="s">
        <v>746</v>
      </c>
      <c r="G82" s="3" t="s">
        <v>519</v>
      </c>
      <c r="H82" s="3" t="s">
        <v>42</v>
      </c>
      <c r="I82" s="3">
        <f>VLOOKUP(H82,cardsort_group_IDs!A:B,2,0)</f>
        <v>206</v>
      </c>
      <c r="J82" s="3" t="s">
        <v>91</v>
      </c>
      <c r="K82" s="3">
        <f>VLOOKUP(J82,cardsort_subgroup_IDs!A:B,2,0)</f>
        <v>326</v>
      </c>
      <c r="L82" s="3">
        <f t="shared" si="6"/>
        <v>1</v>
      </c>
      <c r="M82" s="3">
        <f t="shared" si="8"/>
        <v>0</v>
      </c>
      <c r="N82" s="3">
        <f t="shared" si="9"/>
        <v>1</v>
      </c>
      <c r="O82" s="3">
        <f t="shared" si="7"/>
        <v>1</v>
      </c>
      <c r="P82" s="12" t="s">
        <v>436</v>
      </c>
      <c r="Q82" s="12" t="s">
        <v>507</v>
      </c>
      <c r="R82" t="s">
        <v>513</v>
      </c>
      <c r="S82" s="12" t="s">
        <v>748</v>
      </c>
    </row>
    <row r="83" spans="1:19" ht="60" x14ac:dyDescent="0.25">
      <c r="A83" s="3">
        <v>116</v>
      </c>
      <c r="B83" s="3" t="s">
        <v>147</v>
      </c>
      <c r="C83" s="4" t="s">
        <v>853</v>
      </c>
      <c r="D83" s="12" t="s">
        <v>570</v>
      </c>
      <c r="E83" s="13" t="s">
        <v>861</v>
      </c>
      <c r="F83" s="4" t="s">
        <v>852</v>
      </c>
      <c r="G83" s="3" t="s">
        <v>517</v>
      </c>
      <c r="H83" s="3" t="s">
        <v>30</v>
      </c>
      <c r="I83" s="3">
        <f>VLOOKUP(H83,cardsort_group_IDs!A:B,2,0)</f>
        <v>205</v>
      </c>
      <c r="J83" s="3" t="s">
        <v>148</v>
      </c>
      <c r="K83" s="3">
        <f>VLOOKUP(J83,cardsort_subgroup_IDs!A:B,2,0)</f>
        <v>331</v>
      </c>
      <c r="L83" s="3">
        <f t="shared" si="6"/>
        <v>3</v>
      </c>
      <c r="M83" s="3">
        <f t="shared" si="8"/>
        <v>3</v>
      </c>
      <c r="N83" s="3">
        <f t="shared" si="9"/>
        <v>4</v>
      </c>
      <c r="O83" s="3">
        <f t="shared" si="7"/>
        <v>7</v>
      </c>
      <c r="P83" s="12" t="s">
        <v>436</v>
      </c>
      <c r="Q83" s="12" t="s">
        <v>508</v>
      </c>
      <c r="R83" t="s">
        <v>511</v>
      </c>
      <c r="S83" s="12" t="s">
        <v>854</v>
      </c>
    </row>
    <row r="84" spans="1:19" ht="30" x14ac:dyDescent="0.25">
      <c r="A84" s="3">
        <v>117</v>
      </c>
      <c r="B84" s="3" t="s">
        <v>35</v>
      </c>
      <c r="C84" s="4" t="s">
        <v>727</v>
      </c>
      <c r="D84" s="12" t="s">
        <v>726</v>
      </c>
      <c r="E84" s="13" t="s">
        <v>310</v>
      </c>
      <c r="F84" s="4" t="s">
        <v>149</v>
      </c>
      <c r="G84" s="3" t="s">
        <v>517</v>
      </c>
      <c r="H84" s="3" t="s">
        <v>30</v>
      </c>
      <c r="I84" s="3">
        <f>VLOOKUP(H84,cardsort_group_IDs!A:B,2,0)</f>
        <v>205</v>
      </c>
      <c r="J84" s="3" t="s">
        <v>35</v>
      </c>
      <c r="K84" s="3">
        <f>VLOOKUP(J84,cardsort_subgroup_IDs!A:B,2,0)</f>
        <v>309</v>
      </c>
      <c r="L84" s="3">
        <f t="shared" si="6"/>
        <v>3</v>
      </c>
      <c r="M84" s="3">
        <f t="shared" si="8"/>
        <v>2</v>
      </c>
      <c r="N84" s="3">
        <f t="shared" si="9"/>
        <v>4</v>
      </c>
      <c r="O84" s="3">
        <f t="shared" si="7"/>
        <v>6</v>
      </c>
      <c r="P84" s="12" t="s">
        <v>93</v>
      </c>
      <c r="Q84" s="12" t="s">
        <v>508</v>
      </c>
      <c r="R84" t="s">
        <v>512</v>
      </c>
      <c r="S84" s="12" t="s">
        <v>9</v>
      </c>
    </row>
    <row r="85" spans="1:19" ht="30" x14ac:dyDescent="0.25">
      <c r="A85" s="3">
        <v>118</v>
      </c>
      <c r="B85" s="3" t="s">
        <v>150</v>
      </c>
      <c r="C85" s="4" t="s">
        <v>9</v>
      </c>
      <c r="D85" s="12">
        <v>201</v>
      </c>
      <c r="E85" s="13" t="s">
        <v>9</v>
      </c>
      <c r="F85" s="4" t="s">
        <v>151</v>
      </c>
      <c r="G85" s="3" t="s">
        <v>517</v>
      </c>
      <c r="H85" s="3" t="s">
        <v>21</v>
      </c>
      <c r="I85" s="3">
        <f>VLOOKUP(H85,cardsort_group_IDs!A:B,2,0)</f>
        <v>202</v>
      </c>
      <c r="J85" s="3" t="s">
        <v>152</v>
      </c>
      <c r="K85" s="3">
        <f>VLOOKUP(J85,cardsort_subgroup_IDs!A:B,2,0)</f>
        <v>332</v>
      </c>
      <c r="L85" s="3">
        <f t="shared" si="6"/>
        <v>2</v>
      </c>
      <c r="M85" s="3">
        <f t="shared" si="8"/>
        <v>1</v>
      </c>
      <c r="N85" s="3">
        <f t="shared" si="9"/>
        <v>0</v>
      </c>
      <c r="O85" s="3">
        <f t="shared" si="7"/>
        <v>1</v>
      </c>
      <c r="P85" s="12" t="s">
        <v>436</v>
      </c>
      <c r="Q85" s="12" t="s">
        <v>506</v>
      </c>
      <c r="R85" t="s">
        <v>512</v>
      </c>
      <c r="S85" s="12" t="s">
        <v>9</v>
      </c>
    </row>
    <row r="86" spans="1:19" x14ac:dyDescent="0.25">
      <c r="A86" s="3">
        <v>120</v>
      </c>
      <c r="B86" t="s">
        <v>752</v>
      </c>
      <c r="C86" s="4" t="s">
        <v>755</v>
      </c>
      <c r="D86" s="12" t="s">
        <v>299</v>
      </c>
      <c r="E86" s="13" t="s">
        <v>301</v>
      </c>
      <c r="F86" t="s">
        <v>753</v>
      </c>
      <c r="G86" s="3" t="s">
        <v>517</v>
      </c>
      <c r="H86" s="3" t="s">
        <v>15</v>
      </c>
      <c r="I86" s="3">
        <f>VLOOKUP(H86,cardsort_group_IDs!A:B,2,0)</f>
        <v>204</v>
      </c>
      <c r="J86" s="3" t="s">
        <v>24</v>
      </c>
      <c r="K86" s="3">
        <f>VLOOKUP(J86,cardsort_subgroup_IDs!A:B,2,0)</f>
        <v>306</v>
      </c>
      <c r="L86" s="3">
        <f t="shared" si="6"/>
        <v>3</v>
      </c>
      <c r="M86" s="3">
        <f t="shared" ref="M86:M117" si="10">IF(D86="-",0,LEN(D86)-LEN(SUBSTITUTE(D86,";",""))+1)</f>
        <v>1</v>
      </c>
      <c r="N86" s="3">
        <f t="shared" ref="N86:N117" si="11">IF(E86="-",0,LEN(E86)-LEN(SUBSTITUTE(E86,";",""))+1)</f>
        <v>2</v>
      </c>
      <c r="O86" s="3">
        <f t="shared" si="7"/>
        <v>3</v>
      </c>
      <c r="P86" s="12" t="s">
        <v>436</v>
      </c>
      <c r="Q86" s="12" t="s">
        <v>507</v>
      </c>
      <c r="R86" t="s">
        <v>511</v>
      </c>
      <c r="S86" s="12" t="s">
        <v>754</v>
      </c>
    </row>
    <row r="87" spans="1:19" ht="60" x14ac:dyDescent="0.25">
      <c r="A87" s="3">
        <v>121</v>
      </c>
      <c r="B87" s="27" t="s">
        <v>153</v>
      </c>
      <c r="C87" s="4" t="s">
        <v>175</v>
      </c>
      <c r="D87" s="12" t="s">
        <v>465</v>
      </c>
      <c r="E87" s="13" t="s">
        <v>655</v>
      </c>
      <c r="F87" s="4" t="s">
        <v>154</v>
      </c>
      <c r="G87" s="3" t="s">
        <v>517</v>
      </c>
      <c r="H87" s="3" t="s">
        <v>15</v>
      </c>
      <c r="I87" s="3">
        <f>VLOOKUP(H87,cardsort_group_IDs!A:B,2,0)</f>
        <v>204</v>
      </c>
      <c r="J87" s="3" t="s">
        <v>24</v>
      </c>
      <c r="K87" s="3">
        <f>VLOOKUP(J87,cardsort_subgroup_IDs!A:B,2,0)</f>
        <v>306</v>
      </c>
      <c r="L87" s="3">
        <f t="shared" si="6"/>
        <v>3</v>
      </c>
      <c r="M87" s="3">
        <f t="shared" si="10"/>
        <v>4</v>
      </c>
      <c r="N87" s="3">
        <f t="shared" si="11"/>
        <v>5</v>
      </c>
      <c r="O87" s="3">
        <f t="shared" si="7"/>
        <v>9</v>
      </c>
      <c r="P87" s="12" t="s">
        <v>93</v>
      </c>
      <c r="Q87" s="12" t="s">
        <v>507</v>
      </c>
      <c r="R87" t="s">
        <v>512</v>
      </c>
      <c r="S87" s="12" t="s">
        <v>9</v>
      </c>
    </row>
    <row r="88" spans="1:19" ht="30" x14ac:dyDescent="0.25">
      <c r="A88" s="3">
        <v>122</v>
      </c>
      <c r="B88" s="3" t="s">
        <v>155</v>
      </c>
      <c r="C88" s="4" t="s">
        <v>757</v>
      </c>
      <c r="D88" s="12" t="s">
        <v>645</v>
      </c>
      <c r="E88" s="13" t="s">
        <v>646</v>
      </c>
      <c r="F88" s="4" t="s">
        <v>758</v>
      </c>
      <c r="G88" s="3" t="s">
        <v>517</v>
      </c>
      <c r="H88" s="3" t="s">
        <v>15</v>
      </c>
      <c r="I88" s="3">
        <f>VLOOKUP(H88,cardsort_group_IDs!A:B,2,0)</f>
        <v>204</v>
      </c>
      <c r="J88" s="3" t="s">
        <v>24</v>
      </c>
      <c r="K88" s="3">
        <f>VLOOKUP(J88,cardsort_subgroup_IDs!A:B,2,0)</f>
        <v>306</v>
      </c>
      <c r="L88" s="3">
        <f t="shared" si="6"/>
        <v>3</v>
      </c>
      <c r="M88" s="3">
        <f t="shared" si="10"/>
        <v>3</v>
      </c>
      <c r="N88" s="3">
        <f t="shared" si="11"/>
        <v>2</v>
      </c>
      <c r="O88" s="3">
        <f t="shared" si="7"/>
        <v>5</v>
      </c>
      <c r="P88" s="12" t="s">
        <v>93</v>
      </c>
      <c r="Q88" s="12" t="s">
        <v>507</v>
      </c>
      <c r="R88" t="s">
        <v>511</v>
      </c>
      <c r="S88" s="12" t="s">
        <v>756</v>
      </c>
    </row>
    <row r="89" spans="1:19" ht="45" x14ac:dyDescent="0.25">
      <c r="A89" s="3">
        <v>124</v>
      </c>
      <c r="B89" s="3" t="s">
        <v>590</v>
      </c>
      <c r="C89" s="4" t="s">
        <v>591</v>
      </c>
      <c r="D89" s="12" t="s">
        <v>614</v>
      </c>
      <c r="E89" s="13" t="s">
        <v>529</v>
      </c>
      <c r="F89" s="4" t="s">
        <v>615</v>
      </c>
      <c r="G89" s="3" t="s">
        <v>517</v>
      </c>
      <c r="H89" s="3" t="s">
        <v>366</v>
      </c>
      <c r="I89" s="3">
        <f>VLOOKUP(H89,cardsort_group_IDs!A:B,2,0)</f>
        <v>203</v>
      </c>
      <c r="J89" s="3" t="s">
        <v>84</v>
      </c>
      <c r="K89" s="3">
        <f>VLOOKUP(J89,cardsort_subgroup_IDs!A:B,2,0)</f>
        <v>323</v>
      </c>
      <c r="L89" s="3">
        <f t="shared" si="6"/>
        <v>3</v>
      </c>
      <c r="M89" s="3">
        <f t="shared" si="10"/>
        <v>5</v>
      </c>
      <c r="N89" s="3">
        <f t="shared" si="11"/>
        <v>4</v>
      </c>
      <c r="O89" s="3">
        <f t="shared" si="7"/>
        <v>9</v>
      </c>
      <c r="P89" s="12" t="s">
        <v>436</v>
      </c>
      <c r="Q89" s="12" t="s">
        <v>506</v>
      </c>
      <c r="R89" t="s">
        <v>511</v>
      </c>
      <c r="S89" s="12" t="s">
        <v>611</v>
      </c>
    </row>
    <row r="90" spans="1:19" ht="30" x14ac:dyDescent="0.25">
      <c r="A90" s="3">
        <v>126</v>
      </c>
      <c r="B90" s="4" t="s">
        <v>813</v>
      </c>
      <c r="C90" s="4" t="s">
        <v>581</v>
      </c>
      <c r="D90" s="12" t="s">
        <v>296</v>
      </c>
      <c r="E90" s="13">
        <v>501</v>
      </c>
      <c r="F90" s="4" t="s">
        <v>582</v>
      </c>
      <c r="G90" s="3" t="s">
        <v>517</v>
      </c>
      <c r="H90" s="3" t="s">
        <v>46</v>
      </c>
      <c r="I90" s="3">
        <f>VLOOKUP(H90,cardsort_group_IDs!A:B,2,0)</f>
        <v>207</v>
      </c>
      <c r="J90" s="3" t="s">
        <v>837</v>
      </c>
      <c r="K90" s="3">
        <f>VLOOKUP(J90,cardsort_subgroup_IDs!A:B,2,0)</f>
        <v>312</v>
      </c>
      <c r="L90" s="3">
        <f t="shared" si="6"/>
        <v>3</v>
      </c>
      <c r="M90" s="3">
        <f t="shared" si="10"/>
        <v>1</v>
      </c>
      <c r="N90" s="3">
        <f t="shared" si="11"/>
        <v>1</v>
      </c>
      <c r="O90" s="3">
        <f t="shared" si="7"/>
        <v>2</v>
      </c>
      <c r="P90" s="12" t="s">
        <v>436</v>
      </c>
      <c r="Q90" s="12" t="s">
        <v>507</v>
      </c>
      <c r="R90" t="s">
        <v>512</v>
      </c>
      <c r="S90" s="12" t="s">
        <v>9</v>
      </c>
    </row>
    <row r="91" spans="1:19" ht="30" x14ac:dyDescent="0.25">
      <c r="A91" s="3">
        <v>127</v>
      </c>
      <c r="B91" s="4" t="s">
        <v>810</v>
      </c>
      <c r="C91" s="4" t="s">
        <v>759</v>
      </c>
      <c r="D91" s="12" t="s">
        <v>574</v>
      </c>
      <c r="E91" s="13" t="s">
        <v>168</v>
      </c>
      <c r="F91" s="5" t="s">
        <v>583</v>
      </c>
      <c r="G91" s="3" t="s">
        <v>517</v>
      </c>
      <c r="H91" s="3" t="s">
        <v>46</v>
      </c>
      <c r="I91" s="3">
        <f>VLOOKUP(H91,cardsort_group_IDs!A:B,2,0)</f>
        <v>207</v>
      </c>
      <c r="J91" s="3" t="s">
        <v>837</v>
      </c>
      <c r="K91" s="3">
        <f>VLOOKUP(J91,cardsort_subgroup_IDs!A:B,2,0)</f>
        <v>312</v>
      </c>
      <c r="L91" s="3">
        <f t="shared" si="6"/>
        <v>3</v>
      </c>
      <c r="M91" s="3">
        <f t="shared" si="10"/>
        <v>2</v>
      </c>
      <c r="N91" s="3">
        <f t="shared" si="11"/>
        <v>2</v>
      </c>
      <c r="O91" s="3">
        <f t="shared" si="7"/>
        <v>4</v>
      </c>
      <c r="P91" s="12" t="s">
        <v>436</v>
      </c>
      <c r="Q91" s="12" t="s">
        <v>507</v>
      </c>
      <c r="R91" t="s">
        <v>512</v>
      </c>
      <c r="S91" s="12" t="s">
        <v>760</v>
      </c>
    </row>
    <row r="92" spans="1:19" ht="30" x14ac:dyDescent="0.25">
      <c r="A92" s="3">
        <v>128</v>
      </c>
      <c r="B92" s="4" t="s">
        <v>803</v>
      </c>
      <c r="C92" s="4" t="s">
        <v>804</v>
      </c>
      <c r="D92" s="12" t="s">
        <v>300</v>
      </c>
      <c r="E92" s="13">
        <v>501</v>
      </c>
      <c r="F92" s="5" t="s">
        <v>639</v>
      </c>
      <c r="G92" s="3" t="s">
        <v>517</v>
      </c>
      <c r="H92" s="3" t="s">
        <v>46</v>
      </c>
      <c r="I92" s="3">
        <f>VLOOKUP(H92,cardsort_group_IDs!A:B,2,0)</f>
        <v>207</v>
      </c>
      <c r="J92" s="3" t="s">
        <v>837</v>
      </c>
      <c r="K92" s="3">
        <f>VLOOKUP(J92,cardsort_subgroup_IDs!A:B,2,0)</f>
        <v>312</v>
      </c>
      <c r="L92" s="3">
        <f t="shared" si="6"/>
        <v>3</v>
      </c>
      <c r="M92" s="3">
        <f t="shared" si="10"/>
        <v>1</v>
      </c>
      <c r="N92" s="3">
        <f t="shared" si="11"/>
        <v>1</v>
      </c>
      <c r="O92" s="3">
        <f t="shared" si="7"/>
        <v>2</v>
      </c>
      <c r="P92" s="12" t="s">
        <v>436</v>
      </c>
      <c r="Q92" s="12" t="s">
        <v>507</v>
      </c>
      <c r="R92" t="s">
        <v>512</v>
      </c>
      <c r="S92" s="12" t="s">
        <v>9</v>
      </c>
    </row>
    <row r="93" spans="1:19" ht="45" x14ac:dyDescent="0.25">
      <c r="A93" s="3">
        <v>129</v>
      </c>
      <c r="B93" s="4" t="s">
        <v>453</v>
      </c>
      <c r="C93" s="4" t="s">
        <v>761</v>
      </c>
      <c r="D93" s="12" t="s">
        <v>454</v>
      </c>
      <c r="E93" s="13" t="s">
        <v>842</v>
      </c>
      <c r="F93" s="4" t="s">
        <v>640</v>
      </c>
      <c r="G93" s="3" t="s">
        <v>517</v>
      </c>
      <c r="H93" s="3" t="s">
        <v>46</v>
      </c>
      <c r="I93" s="3">
        <f>VLOOKUP(H93,cardsort_group_IDs!A:B,2,0)</f>
        <v>207</v>
      </c>
      <c r="J93" s="3" t="s">
        <v>837</v>
      </c>
      <c r="K93" s="3">
        <f>VLOOKUP(J93,cardsort_subgroup_IDs!A:B,2,0)</f>
        <v>312</v>
      </c>
      <c r="L93" s="3">
        <f t="shared" si="6"/>
        <v>3</v>
      </c>
      <c r="M93" s="3">
        <f t="shared" si="10"/>
        <v>16</v>
      </c>
      <c r="N93" s="3">
        <f t="shared" si="11"/>
        <v>10</v>
      </c>
      <c r="O93" s="3">
        <f t="shared" si="7"/>
        <v>26</v>
      </c>
      <c r="P93" s="12" t="s">
        <v>93</v>
      </c>
      <c r="Q93" s="12" t="s">
        <v>507</v>
      </c>
      <c r="R93" t="s">
        <v>512</v>
      </c>
      <c r="S93" s="12" t="s">
        <v>9</v>
      </c>
    </row>
    <row r="94" spans="1:19" ht="105" x14ac:dyDescent="0.25">
      <c r="A94" s="3">
        <v>130</v>
      </c>
      <c r="B94" s="3" t="s">
        <v>584</v>
      </c>
      <c r="C94" s="4" t="s">
        <v>762</v>
      </c>
      <c r="D94" s="12" t="s">
        <v>373</v>
      </c>
      <c r="E94" s="13" t="s">
        <v>374</v>
      </c>
      <c r="F94" s="4" t="s">
        <v>763</v>
      </c>
      <c r="G94" s="3" t="s">
        <v>516</v>
      </c>
      <c r="H94" s="3" t="s">
        <v>366</v>
      </c>
      <c r="I94" s="3">
        <f>VLOOKUP(H94,cardsort_group_IDs!A:B,2,0)</f>
        <v>203</v>
      </c>
      <c r="J94" s="3" t="s">
        <v>47</v>
      </c>
      <c r="K94" s="3">
        <f>VLOOKUP(J94,cardsort_subgroup_IDs!A:B,2,0)</f>
        <v>313</v>
      </c>
      <c r="L94" s="3">
        <f t="shared" si="6"/>
        <v>3</v>
      </c>
      <c r="M94" s="3">
        <f t="shared" si="10"/>
        <v>2</v>
      </c>
      <c r="N94" s="3">
        <f t="shared" si="11"/>
        <v>3</v>
      </c>
      <c r="O94" s="3">
        <f t="shared" si="7"/>
        <v>5</v>
      </c>
      <c r="P94" s="12" t="s">
        <v>436</v>
      </c>
      <c r="Q94" s="12" t="s">
        <v>506</v>
      </c>
      <c r="R94" t="s">
        <v>511</v>
      </c>
      <c r="S94" s="12" t="s">
        <v>9</v>
      </c>
    </row>
    <row r="95" spans="1:19" ht="30" x14ac:dyDescent="0.25">
      <c r="A95" s="3">
        <v>133</v>
      </c>
      <c r="B95" s="3" t="s">
        <v>764</v>
      </c>
      <c r="C95" s="4" t="s">
        <v>765</v>
      </c>
      <c r="D95" s="12" t="s">
        <v>9</v>
      </c>
      <c r="E95" s="13" t="s">
        <v>766</v>
      </c>
      <c r="F95" s="4" t="s">
        <v>767</v>
      </c>
      <c r="G95" s="3" t="s">
        <v>517</v>
      </c>
      <c r="H95" s="3" t="s">
        <v>30</v>
      </c>
      <c r="I95" s="3">
        <f>VLOOKUP(H95,cardsort_group_IDs!A:B,2,0)</f>
        <v>205</v>
      </c>
      <c r="J95" s="3" t="s">
        <v>61</v>
      </c>
      <c r="K95" s="3">
        <f>VLOOKUP(J95,cardsort_subgroup_IDs!A:B,2,0)</f>
        <v>319</v>
      </c>
      <c r="L95" s="3">
        <f t="shared" si="6"/>
        <v>1</v>
      </c>
      <c r="M95" s="3">
        <f t="shared" si="10"/>
        <v>0</v>
      </c>
      <c r="N95" s="3">
        <f t="shared" si="11"/>
        <v>1</v>
      </c>
      <c r="O95" s="3">
        <f t="shared" si="7"/>
        <v>1</v>
      </c>
      <c r="P95" s="12" t="s">
        <v>93</v>
      </c>
      <c r="Q95" s="12" t="s">
        <v>508</v>
      </c>
      <c r="R95" t="s">
        <v>511</v>
      </c>
      <c r="S95" t="s">
        <v>768</v>
      </c>
    </row>
    <row r="96" spans="1:19" ht="30" x14ac:dyDescent="0.25">
      <c r="A96" s="3">
        <v>134</v>
      </c>
      <c r="B96" s="3" t="s">
        <v>770</v>
      </c>
      <c r="C96" s="4" t="s">
        <v>9</v>
      </c>
      <c r="D96" s="12" t="s">
        <v>9</v>
      </c>
      <c r="E96" s="13" t="s">
        <v>771</v>
      </c>
      <c r="F96" s="4" t="s">
        <v>772</v>
      </c>
      <c r="G96" s="3" t="s">
        <v>517</v>
      </c>
      <c r="H96" s="3" t="s">
        <v>30</v>
      </c>
      <c r="I96" s="3">
        <f>VLOOKUP(H96,cardsort_group_IDs!A:B,2,0)</f>
        <v>205</v>
      </c>
      <c r="J96" s="3" t="s">
        <v>61</v>
      </c>
      <c r="K96" s="3">
        <f>VLOOKUP(J96,cardsort_subgroup_IDs!A:B,2,0)</f>
        <v>319</v>
      </c>
      <c r="L96" s="3">
        <f t="shared" ref="L96" si="12">IF(E96="-",0,1)+IF(D96="-",0,2)</f>
        <v>1</v>
      </c>
      <c r="M96" s="3">
        <f t="shared" ref="M96" si="13">IF(D96="-",0,LEN(D96)-LEN(SUBSTITUTE(D96,";",""))+1)</f>
        <v>0</v>
      </c>
      <c r="N96" s="3">
        <f t="shared" ref="N96" si="14">IF(E96="-",0,LEN(E96)-LEN(SUBSTITUTE(E96,";",""))+1)</f>
        <v>1</v>
      </c>
      <c r="O96" s="3">
        <f t="shared" ref="O96" si="15">SUM(M96:N96)</f>
        <v>1</v>
      </c>
      <c r="P96" s="12" t="s">
        <v>93</v>
      </c>
      <c r="Q96" s="12" t="s">
        <v>508</v>
      </c>
      <c r="R96" t="s">
        <v>512</v>
      </c>
      <c r="S96" t="s">
        <v>769</v>
      </c>
    </row>
    <row r="97" spans="1:19" ht="30" x14ac:dyDescent="0.25">
      <c r="A97" s="3">
        <v>135</v>
      </c>
      <c r="B97" s="4" t="s">
        <v>169</v>
      </c>
      <c r="C97" s="4" t="s">
        <v>9</v>
      </c>
      <c r="D97" s="12" t="s">
        <v>9</v>
      </c>
      <c r="E97" s="14">
        <v>183</v>
      </c>
      <c r="F97" s="4" t="s">
        <v>362</v>
      </c>
      <c r="G97" t="s">
        <v>516</v>
      </c>
      <c r="H97" t="s">
        <v>366</v>
      </c>
      <c r="I97" s="3">
        <f>VLOOKUP(H97,cardsort_group_IDs!A:B,2,0)</f>
        <v>203</v>
      </c>
      <c r="J97" s="3" t="s">
        <v>99</v>
      </c>
      <c r="K97" s="3">
        <f>VLOOKUP(J97,cardsort_subgroup_IDs!A:B,2,0)</f>
        <v>328</v>
      </c>
      <c r="L97" s="3">
        <f t="shared" si="6"/>
        <v>1</v>
      </c>
      <c r="M97" s="3">
        <f t="shared" si="10"/>
        <v>0</v>
      </c>
      <c r="N97" s="3">
        <f t="shared" si="11"/>
        <v>1</v>
      </c>
      <c r="O97" s="3">
        <f t="shared" si="7"/>
        <v>1</v>
      </c>
      <c r="P97" s="12" t="s">
        <v>436</v>
      </c>
      <c r="Q97" s="12" t="s">
        <v>506</v>
      </c>
      <c r="R97" t="s">
        <v>511</v>
      </c>
      <c r="S97" s="12" t="s">
        <v>9</v>
      </c>
    </row>
    <row r="98" spans="1:19" ht="45" x14ac:dyDescent="0.25">
      <c r="A98" s="3">
        <v>137</v>
      </c>
      <c r="B98" s="28" t="s">
        <v>170</v>
      </c>
      <c r="C98" s="4" t="s">
        <v>171</v>
      </c>
      <c r="D98" s="12" t="s">
        <v>9</v>
      </c>
      <c r="E98" s="29" t="s">
        <v>172</v>
      </c>
      <c r="F98" s="4" t="s">
        <v>363</v>
      </c>
      <c r="G98" t="s">
        <v>517</v>
      </c>
      <c r="H98" t="s">
        <v>366</v>
      </c>
      <c r="I98" s="3">
        <f>VLOOKUP(H98,cardsort_group_IDs!A:B,2,0)</f>
        <v>203</v>
      </c>
      <c r="J98" s="3" t="s">
        <v>47</v>
      </c>
      <c r="K98" s="3">
        <f>VLOOKUP(J98,cardsort_subgroup_IDs!A:B,2,0)</f>
        <v>313</v>
      </c>
      <c r="L98" s="3">
        <f t="shared" si="6"/>
        <v>1</v>
      </c>
      <c r="M98" s="3">
        <f t="shared" si="10"/>
        <v>0</v>
      </c>
      <c r="N98" s="3">
        <f t="shared" si="11"/>
        <v>6</v>
      </c>
      <c r="O98" s="3">
        <f t="shared" si="7"/>
        <v>6</v>
      </c>
      <c r="P98" s="12" t="s">
        <v>436</v>
      </c>
      <c r="Q98" s="12" t="s">
        <v>508</v>
      </c>
      <c r="R98" t="s">
        <v>511</v>
      </c>
      <c r="S98" s="12" t="s">
        <v>9</v>
      </c>
    </row>
    <row r="99" spans="1:19" x14ac:dyDescent="0.25">
      <c r="A99" s="3">
        <v>138</v>
      </c>
      <c r="B99" s="4" t="s">
        <v>786</v>
      </c>
      <c r="C99" s="4" t="s">
        <v>787</v>
      </c>
      <c r="D99" s="12" t="s">
        <v>9</v>
      </c>
      <c r="E99" s="14">
        <v>236</v>
      </c>
      <c r="F99" s="4" t="s">
        <v>361</v>
      </c>
      <c r="G99" t="s">
        <v>517</v>
      </c>
      <c r="H99" t="s">
        <v>10</v>
      </c>
      <c r="I99" s="3">
        <f>VLOOKUP(H99,cardsort_group_IDs!A:B,2,0)</f>
        <v>201</v>
      </c>
      <c r="J99" s="3" t="s">
        <v>17</v>
      </c>
      <c r="K99" s="3">
        <f>VLOOKUP(J99,cardsort_subgroup_IDs!A:B,2,0)</f>
        <v>302</v>
      </c>
      <c r="L99" s="3">
        <f t="shared" si="6"/>
        <v>1</v>
      </c>
      <c r="M99" s="3">
        <f t="shared" si="10"/>
        <v>0</v>
      </c>
      <c r="N99" s="3">
        <f t="shared" si="11"/>
        <v>1</v>
      </c>
      <c r="O99" s="3">
        <f t="shared" si="7"/>
        <v>1</v>
      </c>
      <c r="P99" s="12" t="s">
        <v>436</v>
      </c>
      <c r="Q99" s="12" t="s">
        <v>507</v>
      </c>
      <c r="R99" t="s">
        <v>512</v>
      </c>
      <c r="S99" s="12" t="s">
        <v>9</v>
      </c>
    </row>
    <row r="100" spans="1:19" ht="45" x14ac:dyDescent="0.25">
      <c r="A100" s="3">
        <v>139</v>
      </c>
      <c r="B100" s="18" t="s">
        <v>389</v>
      </c>
      <c r="C100" s="4" t="s">
        <v>9</v>
      </c>
      <c r="D100" s="12">
        <v>510</v>
      </c>
      <c r="E100" s="13" t="s">
        <v>9</v>
      </c>
      <c r="F100" s="4" t="s">
        <v>390</v>
      </c>
      <c r="G100" s="3" t="s">
        <v>517</v>
      </c>
      <c r="H100" s="3" t="s">
        <v>21</v>
      </c>
      <c r="I100" s="3">
        <f>VLOOKUP(H100,cardsort_group_IDs!A:B,2,0)</f>
        <v>202</v>
      </c>
      <c r="J100" s="3" t="s">
        <v>113</v>
      </c>
      <c r="K100" s="3">
        <f>VLOOKUP(J100,cardsort_subgroup_IDs!A:B,2,0)</f>
        <v>304</v>
      </c>
      <c r="L100" s="3">
        <f t="shared" ref="L100" si="16">IF(E100="-",0,1)+IF(D100="-",0,2)</f>
        <v>2</v>
      </c>
      <c r="M100" s="3">
        <f t="shared" si="10"/>
        <v>1</v>
      </c>
      <c r="N100" s="3">
        <f t="shared" si="11"/>
        <v>0</v>
      </c>
      <c r="O100" s="3">
        <f t="shared" ref="O100" si="17">SUM(M100:N100)</f>
        <v>1</v>
      </c>
      <c r="P100" s="12" t="s">
        <v>436</v>
      </c>
      <c r="Q100" s="12" t="s">
        <v>508</v>
      </c>
      <c r="R100" t="s">
        <v>512</v>
      </c>
      <c r="S100" s="12" t="s">
        <v>9</v>
      </c>
    </row>
    <row r="101" spans="1:19" ht="75" x14ac:dyDescent="0.25">
      <c r="A101" s="3">
        <v>140</v>
      </c>
      <c r="B101" s="3" t="s">
        <v>428</v>
      </c>
      <c r="C101" s="4" t="s">
        <v>785</v>
      </c>
      <c r="D101" s="12" t="s">
        <v>450</v>
      </c>
      <c r="E101" s="13" t="s">
        <v>475</v>
      </c>
      <c r="F101" s="4" t="s">
        <v>429</v>
      </c>
      <c r="G101" s="3" t="s">
        <v>517</v>
      </c>
      <c r="H101" s="3" t="s">
        <v>15</v>
      </c>
      <c r="I101" s="3">
        <f>VLOOKUP(H101,cardsort_group_IDs!A:B,2,0)</f>
        <v>204</v>
      </c>
      <c r="J101" s="3" t="s">
        <v>16</v>
      </c>
      <c r="K101" s="3">
        <f>VLOOKUP(J101,cardsort_subgroup_IDs!A:B,2,0)</f>
        <v>327</v>
      </c>
      <c r="L101" s="3">
        <f>IF(E101="-",0,1)+IF(D101="-",0,2)</f>
        <v>3</v>
      </c>
      <c r="M101" s="3">
        <f t="shared" si="10"/>
        <v>17</v>
      </c>
      <c r="N101" s="3">
        <f t="shared" si="11"/>
        <v>1</v>
      </c>
      <c r="O101" s="3">
        <f>SUM(M101:N101)</f>
        <v>18</v>
      </c>
      <c r="P101" s="12" t="s">
        <v>431</v>
      </c>
      <c r="Q101" s="12" t="s">
        <v>506</v>
      </c>
      <c r="R101" t="s">
        <v>512</v>
      </c>
      <c r="S101" s="12">
        <v>2</v>
      </c>
    </row>
    <row r="102" spans="1:19" x14ac:dyDescent="0.25">
      <c r="A102" s="3">
        <v>141</v>
      </c>
      <c r="B102" s="3" t="s">
        <v>819</v>
      </c>
      <c r="C102" s="3" t="s">
        <v>652</v>
      </c>
      <c r="D102" s="12" t="s">
        <v>434</v>
      </c>
      <c r="E102" s="13" t="s">
        <v>647</v>
      </c>
      <c r="F102" s="4" t="s">
        <v>433</v>
      </c>
      <c r="G102" s="3" t="s">
        <v>517</v>
      </c>
      <c r="H102" s="3" t="s">
        <v>46</v>
      </c>
      <c r="I102" s="3">
        <f>VLOOKUP(H102,cardsort_group_IDs!A:B,2,0)</f>
        <v>207</v>
      </c>
      <c r="J102" s="3" t="s">
        <v>635</v>
      </c>
      <c r="K102" s="3">
        <f>VLOOKUP(J102,cardsort_subgroup_IDs!A:B,2,0)</f>
        <v>333</v>
      </c>
      <c r="L102" s="3">
        <f>IF(E102="-",0,1)+IF(D102="-",0,2)</f>
        <v>3</v>
      </c>
      <c r="M102" s="3">
        <f t="shared" si="10"/>
        <v>2</v>
      </c>
      <c r="N102" s="3">
        <f t="shared" si="11"/>
        <v>2</v>
      </c>
      <c r="O102" s="3">
        <f>SUM(M102:N102)</f>
        <v>4</v>
      </c>
      <c r="P102" s="12" t="s">
        <v>431</v>
      </c>
      <c r="Q102" s="12" t="s">
        <v>507</v>
      </c>
      <c r="R102" t="s">
        <v>512</v>
      </c>
      <c r="S102" s="12">
        <v>129</v>
      </c>
    </row>
    <row r="103" spans="1:19" x14ac:dyDescent="0.25">
      <c r="A103" s="3">
        <v>142</v>
      </c>
      <c r="B103" s="3" t="s">
        <v>820</v>
      </c>
      <c r="C103" s="3" t="s">
        <v>653</v>
      </c>
      <c r="D103" s="12" t="s">
        <v>411</v>
      </c>
      <c r="E103" s="13" t="s">
        <v>647</v>
      </c>
      <c r="F103" s="4" t="s">
        <v>435</v>
      </c>
      <c r="G103" s="3" t="s">
        <v>517</v>
      </c>
      <c r="H103" s="3" t="s">
        <v>46</v>
      </c>
      <c r="I103" s="3">
        <f>VLOOKUP(H103,cardsort_group_IDs!A:B,2,0)</f>
        <v>207</v>
      </c>
      <c r="J103" s="3" t="s">
        <v>635</v>
      </c>
      <c r="K103" s="3">
        <f>VLOOKUP(J103,cardsort_subgroup_IDs!A:B,2,0)</f>
        <v>333</v>
      </c>
      <c r="L103" s="3">
        <f>IF(E103="-",0,1)+IF(D103="-",0,2)</f>
        <v>3</v>
      </c>
      <c r="M103" s="3">
        <f t="shared" si="10"/>
        <v>1</v>
      </c>
      <c r="N103" s="3">
        <f t="shared" si="11"/>
        <v>2</v>
      </c>
      <c r="O103" s="3">
        <f>SUM(M103:N103)</f>
        <v>3</v>
      </c>
      <c r="P103" s="12" t="s">
        <v>431</v>
      </c>
      <c r="Q103" s="12" t="s">
        <v>507</v>
      </c>
      <c r="R103" t="s">
        <v>512</v>
      </c>
      <c r="S103" s="12">
        <v>19</v>
      </c>
    </row>
    <row r="104" spans="1:19" ht="45" x14ac:dyDescent="0.25">
      <c r="A104" s="3">
        <v>143</v>
      </c>
      <c r="B104" s="3" t="s">
        <v>818</v>
      </c>
      <c r="C104" s="3" t="s">
        <v>807</v>
      </c>
      <c r="D104" s="12" t="s">
        <v>439</v>
      </c>
      <c r="E104" s="13" t="s">
        <v>846</v>
      </c>
      <c r="F104" s="4" t="s">
        <v>788</v>
      </c>
      <c r="G104" s="3" t="s">
        <v>517</v>
      </c>
      <c r="H104" s="3" t="s">
        <v>46</v>
      </c>
      <c r="I104" s="3">
        <f>VLOOKUP(H104,cardsort_group_IDs!A:B,2,0)</f>
        <v>207</v>
      </c>
      <c r="J104" s="3" t="s">
        <v>635</v>
      </c>
      <c r="K104" s="3">
        <f>VLOOKUP(J104,cardsort_subgroup_IDs!A:B,2,0)</f>
        <v>333</v>
      </c>
      <c r="L104" s="3">
        <f>IF(E104="-",0,1)+IF(D104="-",0,2)</f>
        <v>3</v>
      </c>
      <c r="M104" s="3">
        <f t="shared" si="10"/>
        <v>5</v>
      </c>
      <c r="N104" s="3">
        <f t="shared" si="11"/>
        <v>1</v>
      </c>
      <c r="O104" s="3">
        <f>SUM(M104:N104)</f>
        <v>6</v>
      </c>
      <c r="P104" s="12" t="s">
        <v>431</v>
      </c>
      <c r="Q104" s="12" t="s">
        <v>506</v>
      </c>
      <c r="R104" t="s">
        <v>512</v>
      </c>
      <c r="S104" s="12" t="s">
        <v>9</v>
      </c>
    </row>
    <row r="105" spans="1:19" x14ac:dyDescent="0.25">
      <c r="A105" s="3">
        <v>144</v>
      </c>
      <c r="B105" s="3" t="s">
        <v>809</v>
      </c>
      <c r="C105" s="4" t="s">
        <v>9</v>
      </c>
      <c r="D105" s="10" t="s">
        <v>420</v>
      </c>
      <c r="E105" s="13" t="s">
        <v>9</v>
      </c>
      <c r="F105" s="4" t="s">
        <v>442</v>
      </c>
      <c r="G105" s="3" t="s">
        <v>516</v>
      </c>
      <c r="H105" s="3" t="s">
        <v>15</v>
      </c>
      <c r="I105" s="3">
        <f>VLOOKUP(H105,cardsort_group_IDs!A:B,2,0)</f>
        <v>204</v>
      </c>
      <c r="J105" s="3" t="s">
        <v>16</v>
      </c>
      <c r="K105" s="3">
        <f>VLOOKUP(J105,cardsort_subgroup_IDs!A:B,2,0)</f>
        <v>327</v>
      </c>
      <c r="L105" s="3">
        <f>IF(E105="-",0,1)+IF(D105="-",0,2)</f>
        <v>2</v>
      </c>
      <c r="M105" s="3">
        <f t="shared" si="10"/>
        <v>1</v>
      </c>
      <c r="N105" s="3">
        <f t="shared" si="11"/>
        <v>0</v>
      </c>
      <c r="O105" s="3">
        <f>SUM(M105:N105)</f>
        <v>1</v>
      </c>
      <c r="P105" s="12" t="s">
        <v>440</v>
      </c>
      <c r="Q105" s="12" t="s">
        <v>506</v>
      </c>
      <c r="R105" t="s">
        <v>512</v>
      </c>
      <c r="S105" s="12" t="s">
        <v>444</v>
      </c>
    </row>
    <row r="106" spans="1:19" ht="30" x14ac:dyDescent="0.25">
      <c r="A106" s="3">
        <v>145</v>
      </c>
      <c r="B106" s="3" t="s">
        <v>808</v>
      </c>
      <c r="C106" s="4" t="s">
        <v>729</v>
      </c>
      <c r="D106" s="10" t="s">
        <v>420</v>
      </c>
      <c r="E106" s="13" t="s">
        <v>9</v>
      </c>
      <c r="F106" s="4" t="s">
        <v>443</v>
      </c>
      <c r="G106" s="3" t="s">
        <v>517</v>
      </c>
      <c r="H106" t="s">
        <v>10</v>
      </c>
      <c r="I106" s="3">
        <f>VLOOKUP(H106,cardsort_group_IDs!A:B,2,0)</f>
        <v>201</v>
      </c>
      <c r="J106" t="s">
        <v>17</v>
      </c>
      <c r="K106" s="3">
        <f>VLOOKUP(J106,cardsort_subgroup_IDs!A:B,2,0)</f>
        <v>302</v>
      </c>
      <c r="L106" s="3">
        <f t="shared" ref="L106" si="18">IF(E106="-",0,1)+IF(D106="-",0,2)</f>
        <v>2</v>
      </c>
      <c r="M106" s="3">
        <f t="shared" si="10"/>
        <v>1</v>
      </c>
      <c r="N106" s="3">
        <f t="shared" si="11"/>
        <v>0</v>
      </c>
      <c r="O106" s="3">
        <f t="shared" ref="O106" si="19">SUM(M106:N106)</f>
        <v>1</v>
      </c>
      <c r="P106" s="12" t="s">
        <v>440</v>
      </c>
      <c r="Q106" s="12" t="s">
        <v>507</v>
      </c>
      <c r="R106" t="s">
        <v>512</v>
      </c>
      <c r="S106" s="12" t="s">
        <v>444</v>
      </c>
    </row>
    <row r="107" spans="1:19" ht="30" x14ac:dyDescent="0.25">
      <c r="A107" s="3">
        <v>146</v>
      </c>
      <c r="B107" s="3" t="s">
        <v>441</v>
      </c>
      <c r="C107" s="4" t="s">
        <v>789</v>
      </c>
      <c r="D107" t="s">
        <v>445</v>
      </c>
      <c r="E107" s="13" t="s">
        <v>475</v>
      </c>
      <c r="F107" s="4" t="s">
        <v>447</v>
      </c>
      <c r="G107" s="3" t="s">
        <v>517</v>
      </c>
      <c r="H107" t="s">
        <v>10</v>
      </c>
      <c r="I107" s="3">
        <f>VLOOKUP(H107,cardsort_group_IDs!A:B,2,0)</f>
        <v>201</v>
      </c>
      <c r="J107" t="s">
        <v>17</v>
      </c>
      <c r="K107" s="3">
        <f>VLOOKUP(J107,cardsort_subgroup_IDs!A:B,2,0)</f>
        <v>302</v>
      </c>
      <c r="L107" s="3">
        <f t="shared" ref="L107" si="20">IF(E107="-",0,1)+IF(D107="-",0,2)</f>
        <v>3</v>
      </c>
      <c r="M107" s="3">
        <f t="shared" si="10"/>
        <v>5</v>
      </c>
      <c r="N107" s="3">
        <f t="shared" si="11"/>
        <v>1</v>
      </c>
      <c r="O107" s="3">
        <f t="shared" ref="O107:O109" si="21">SUM(M107:N107)</f>
        <v>6</v>
      </c>
      <c r="P107" s="12" t="s">
        <v>440</v>
      </c>
      <c r="Q107" s="12" t="s">
        <v>507</v>
      </c>
      <c r="R107" t="s">
        <v>512</v>
      </c>
      <c r="S107" s="12" t="s">
        <v>446</v>
      </c>
    </row>
    <row r="108" spans="1:19" ht="30" x14ac:dyDescent="0.25">
      <c r="A108" s="3">
        <v>147</v>
      </c>
      <c r="B108" s="3" t="s">
        <v>806</v>
      </c>
      <c r="C108" s="3" t="s">
        <v>805</v>
      </c>
      <c r="D108" s="10" t="s">
        <v>448</v>
      </c>
      <c r="E108" s="13" t="s">
        <v>9</v>
      </c>
      <c r="F108" s="4" t="s">
        <v>731</v>
      </c>
      <c r="G108" s="3" t="s">
        <v>517</v>
      </c>
      <c r="H108" s="3" t="s">
        <v>15</v>
      </c>
      <c r="I108" s="3">
        <f>VLOOKUP(H108,cardsort_group_IDs!A:B,2,0)</f>
        <v>204</v>
      </c>
      <c r="J108" s="3" t="s">
        <v>16</v>
      </c>
      <c r="K108" s="3">
        <f>VLOOKUP(J108,cardsort_subgroup_IDs!A:B,2,0)</f>
        <v>327</v>
      </c>
      <c r="L108" s="3">
        <f t="shared" ref="L108" si="22">IF(E108="-",0,1)+IF(D108="-",0,2)</f>
        <v>2</v>
      </c>
      <c r="M108" s="3">
        <f t="shared" si="10"/>
        <v>1</v>
      </c>
      <c r="N108" s="3">
        <f t="shared" si="11"/>
        <v>0</v>
      </c>
      <c r="O108" s="3">
        <f t="shared" si="21"/>
        <v>1</v>
      </c>
      <c r="P108" s="12" t="s">
        <v>431</v>
      </c>
      <c r="Q108" s="12" t="s">
        <v>508</v>
      </c>
      <c r="R108" t="s">
        <v>511</v>
      </c>
      <c r="S108" s="12" t="s">
        <v>444</v>
      </c>
    </row>
    <row r="109" spans="1:19" x14ac:dyDescent="0.25">
      <c r="A109" s="3">
        <v>148</v>
      </c>
      <c r="B109" s="3" t="s">
        <v>791</v>
      </c>
      <c r="C109" s="4" t="s">
        <v>479</v>
      </c>
      <c r="D109" t="s">
        <v>473</v>
      </c>
      <c r="E109" s="13" t="s">
        <v>475</v>
      </c>
      <c r="F109" s="4" t="s">
        <v>451</v>
      </c>
      <c r="G109" s="3" t="s">
        <v>516</v>
      </c>
      <c r="H109" s="3" t="s">
        <v>10</v>
      </c>
      <c r="I109" s="3">
        <f>VLOOKUP(H109,cardsort_group_IDs!A:B,2,0)</f>
        <v>201</v>
      </c>
      <c r="J109" s="3" t="s">
        <v>17</v>
      </c>
      <c r="K109" s="3">
        <f>VLOOKUP(J109,cardsort_subgroup_IDs!A:B,2,0)</f>
        <v>302</v>
      </c>
      <c r="L109" s="3">
        <f t="shared" ref="L109" si="23">IF(E109="-",0,1)+IF(D109="-",0,2)</f>
        <v>3</v>
      </c>
      <c r="M109" s="3">
        <f t="shared" si="10"/>
        <v>10</v>
      </c>
      <c r="N109" s="3">
        <f t="shared" si="11"/>
        <v>1</v>
      </c>
      <c r="O109" s="3">
        <f t="shared" si="21"/>
        <v>11</v>
      </c>
      <c r="P109" s="12" t="s">
        <v>93</v>
      </c>
      <c r="Q109" s="12" t="s">
        <v>507</v>
      </c>
      <c r="R109" t="s">
        <v>511</v>
      </c>
      <c r="S109" s="12" t="s">
        <v>452</v>
      </c>
    </row>
    <row r="110" spans="1:19" ht="75" x14ac:dyDescent="0.25">
      <c r="A110" s="3">
        <v>149</v>
      </c>
      <c r="B110" s="3" t="s">
        <v>792</v>
      </c>
      <c r="C110" s="4" t="s">
        <v>790</v>
      </c>
      <c r="D110" s="12" t="s">
        <v>466</v>
      </c>
      <c r="E110" s="13" t="s">
        <v>475</v>
      </c>
      <c r="F110" s="4" t="s">
        <v>793</v>
      </c>
      <c r="G110" s="3" t="s">
        <v>516</v>
      </c>
      <c r="H110" s="3" t="s">
        <v>21</v>
      </c>
      <c r="I110" s="3">
        <f>VLOOKUP(H110,cardsort_group_IDs!A:B,2,0)</f>
        <v>202</v>
      </c>
      <c r="J110" s="3" t="s">
        <v>113</v>
      </c>
      <c r="K110" s="3">
        <f>VLOOKUP(J110,cardsort_subgroup_IDs!A:B,2,0)</f>
        <v>304</v>
      </c>
      <c r="L110" s="3">
        <f t="shared" ref="L110" si="24">IF(E110="-",0,1)+IF(D110="-",0,2)</f>
        <v>3</v>
      </c>
      <c r="M110" s="3">
        <f t="shared" si="10"/>
        <v>2</v>
      </c>
      <c r="N110" s="3">
        <f t="shared" si="11"/>
        <v>1</v>
      </c>
      <c r="O110" s="3">
        <f t="shared" ref="O110" si="25">SUM(M110:N110)</f>
        <v>3</v>
      </c>
      <c r="P110" s="12" t="s">
        <v>93</v>
      </c>
      <c r="Q110" s="12" t="s">
        <v>506</v>
      </c>
      <c r="R110" t="s">
        <v>511</v>
      </c>
      <c r="S110" s="12" t="s">
        <v>460</v>
      </c>
    </row>
    <row r="111" spans="1:19" ht="60" x14ac:dyDescent="0.25">
      <c r="A111" s="3">
        <v>150</v>
      </c>
      <c r="B111" s="3" t="s">
        <v>794</v>
      </c>
      <c r="C111" s="4" t="s">
        <v>795</v>
      </c>
      <c r="D111" s="12" t="s">
        <v>577</v>
      </c>
      <c r="E111" s="13" t="s">
        <v>823</v>
      </c>
      <c r="F111" s="4" t="s">
        <v>796</v>
      </c>
      <c r="G111" s="3" t="s">
        <v>516</v>
      </c>
      <c r="H111" s="3" t="s">
        <v>366</v>
      </c>
      <c r="I111" s="3">
        <f>VLOOKUP(H111,cardsort_group_IDs!A:B,2,0)</f>
        <v>203</v>
      </c>
      <c r="J111" s="3" t="s">
        <v>47</v>
      </c>
      <c r="K111" s="3">
        <f>VLOOKUP(J111,cardsort_subgroup_IDs!A:B,2,0)</f>
        <v>313</v>
      </c>
      <c r="L111" s="3">
        <f t="shared" ref="L111" si="26">IF(E111="-",0,1)+IF(D111="-",0,2)</f>
        <v>3</v>
      </c>
      <c r="M111" s="3">
        <f t="shared" si="10"/>
        <v>3</v>
      </c>
      <c r="N111" s="3">
        <f t="shared" si="11"/>
        <v>1</v>
      </c>
      <c r="O111" s="3">
        <f t="shared" ref="O111" si="27">SUM(M111:N111)</f>
        <v>4</v>
      </c>
      <c r="P111" s="12" t="s">
        <v>93</v>
      </c>
      <c r="Q111" s="12" t="s">
        <v>506</v>
      </c>
      <c r="R111" t="s">
        <v>511</v>
      </c>
      <c r="S111" s="12" t="s">
        <v>468</v>
      </c>
    </row>
    <row r="112" spans="1:19" x14ac:dyDescent="0.25">
      <c r="A112" s="3">
        <v>151</v>
      </c>
      <c r="B112" s="3" t="s">
        <v>477</v>
      </c>
      <c r="C112" s="4" t="s">
        <v>9</v>
      </c>
      <c r="D112" s="12" t="s">
        <v>9</v>
      </c>
      <c r="E112" s="13" t="s">
        <v>475</v>
      </c>
      <c r="F112" s="4" t="s">
        <v>478</v>
      </c>
      <c r="G112" s="3" t="s">
        <v>517</v>
      </c>
      <c r="H112" s="3" t="s">
        <v>15</v>
      </c>
      <c r="I112" s="3">
        <f>VLOOKUP(H112,cardsort_group_IDs!A:B,2,0)</f>
        <v>204</v>
      </c>
      <c r="J112" s="3" t="s">
        <v>16</v>
      </c>
      <c r="K112" s="3">
        <f>VLOOKUP(J112,cardsort_subgroup_IDs!A:B,2,0)</f>
        <v>327</v>
      </c>
      <c r="L112" s="3">
        <f t="shared" ref="L112" si="28">IF(E112="-",0,1)+IF(D112="-",0,2)</f>
        <v>1</v>
      </c>
      <c r="M112" s="3">
        <f t="shared" si="10"/>
        <v>0</v>
      </c>
      <c r="N112" s="3">
        <f t="shared" si="11"/>
        <v>1</v>
      </c>
      <c r="O112" s="3">
        <f t="shared" ref="O112" si="29">SUM(M112:N112)</f>
        <v>1</v>
      </c>
      <c r="P112" s="12" t="s">
        <v>93</v>
      </c>
      <c r="Q112" s="12" t="s">
        <v>507</v>
      </c>
      <c r="R112" t="s">
        <v>511</v>
      </c>
      <c r="S112" s="12" t="s">
        <v>9</v>
      </c>
    </row>
    <row r="113" spans="1:19" ht="30" x14ac:dyDescent="0.25">
      <c r="A113" s="3">
        <v>152</v>
      </c>
      <c r="B113" s="3" t="s">
        <v>654</v>
      </c>
      <c r="C113" s="4" t="s">
        <v>9</v>
      </c>
      <c r="D113" s="12" t="s">
        <v>9</v>
      </c>
      <c r="E113" s="13" t="s">
        <v>480</v>
      </c>
      <c r="F113" s="4" t="s">
        <v>483</v>
      </c>
      <c r="G113" s="3" t="s">
        <v>516</v>
      </c>
      <c r="H113" s="3" t="s">
        <v>366</v>
      </c>
      <c r="I113" s="3">
        <f>VLOOKUP(H113,cardsort_group_IDs!A:B,2,0)</f>
        <v>203</v>
      </c>
      <c r="J113" s="3" t="s">
        <v>68</v>
      </c>
      <c r="K113" s="3">
        <f>VLOOKUP(J113,cardsort_subgroup_IDs!A:B,2,0)</f>
        <v>321</v>
      </c>
      <c r="L113" s="3">
        <f t="shared" ref="L113" si="30">IF(E113="-",0,1)+IF(D113="-",0,2)</f>
        <v>1</v>
      </c>
      <c r="M113" s="3">
        <f t="shared" si="10"/>
        <v>0</v>
      </c>
      <c r="N113" s="3">
        <f t="shared" si="11"/>
        <v>1</v>
      </c>
      <c r="O113" s="3">
        <f t="shared" ref="O113" si="31">SUM(M113:N113)</f>
        <v>1</v>
      </c>
      <c r="P113" s="12" t="s">
        <v>93</v>
      </c>
      <c r="Q113" s="12" t="s">
        <v>506</v>
      </c>
      <c r="R113" t="s">
        <v>511</v>
      </c>
      <c r="S113" s="12" t="s">
        <v>9</v>
      </c>
    </row>
    <row r="114" spans="1:19" ht="30" x14ac:dyDescent="0.25">
      <c r="A114" s="3">
        <v>153</v>
      </c>
      <c r="B114" s="3" t="s">
        <v>801</v>
      </c>
      <c r="C114" s="4" t="s">
        <v>9</v>
      </c>
      <c r="D114" s="12" t="s">
        <v>9</v>
      </c>
      <c r="E114" s="13" t="s">
        <v>480</v>
      </c>
      <c r="F114" s="4" t="s">
        <v>485</v>
      </c>
      <c r="G114" s="3" t="s">
        <v>516</v>
      </c>
      <c r="H114" s="3" t="s">
        <v>366</v>
      </c>
      <c r="I114" s="3">
        <f>VLOOKUP(H114,cardsort_group_IDs!A:B,2,0)</f>
        <v>203</v>
      </c>
      <c r="J114" s="3" t="s">
        <v>71</v>
      </c>
      <c r="K114" s="3">
        <f>VLOOKUP(J114,cardsort_subgroup_IDs!A:B,2,0)</f>
        <v>322</v>
      </c>
      <c r="L114" s="3">
        <f t="shared" ref="L114" si="32">IF(E114="-",0,1)+IF(D114="-",0,2)</f>
        <v>1</v>
      </c>
      <c r="M114" s="3">
        <f t="shared" si="10"/>
        <v>0</v>
      </c>
      <c r="N114" s="3">
        <f t="shared" si="11"/>
        <v>1</v>
      </c>
      <c r="O114" s="3">
        <f t="shared" ref="O114" si="33">SUM(M114:N114)</f>
        <v>1</v>
      </c>
      <c r="P114" s="12" t="s">
        <v>93</v>
      </c>
      <c r="Q114" s="12" t="s">
        <v>508</v>
      </c>
      <c r="R114" t="s">
        <v>511</v>
      </c>
      <c r="S114" s="12" t="s">
        <v>484</v>
      </c>
    </row>
    <row r="115" spans="1:19" x14ac:dyDescent="0.25">
      <c r="A115" s="3">
        <v>154</v>
      </c>
      <c r="B115" s="3" t="s">
        <v>798</v>
      </c>
      <c r="C115" s="4" t="s">
        <v>799</v>
      </c>
      <c r="D115" s="12" t="s">
        <v>9</v>
      </c>
      <c r="E115" s="13" t="s">
        <v>480</v>
      </c>
      <c r="F115" s="4" t="s">
        <v>800</v>
      </c>
      <c r="G115" s="3" t="s">
        <v>516</v>
      </c>
      <c r="H115" s="3" t="s">
        <v>366</v>
      </c>
      <c r="I115" s="3">
        <f>VLOOKUP(H115,cardsort_group_IDs!A:B,2,0)</f>
        <v>203</v>
      </c>
      <c r="J115" s="3" t="s">
        <v>47</v>
      </c>
      <c r="K115" s="3">
        <f>VLOOKUP(J115,cardsort_subgroup_IDs!A:B,2,0)</f>
        <v>313</v>
      </c>
      <c r="L115" s="3">
        <f t="shared" ref="L115:L117" si="34">IF(E115="-",0,1)+IF(D115="-",0,2)</f>
        <v>1</v>
      </c>
      <c r="M115" s="3">
        <f t="shared" si="10"/>
        <v>0</v>
      </c>
      <c r="N115" s="3">
        <f t="shared" si="11"/>
        <v>1</v>
      </c>
      <c r="O115" s="3">
        <f t="shared" ref="O115:O117" si="35">SUM(M115:N115)</f>
        <v>1</v>
      </c>
      <c r="P115" s="12" t="s">
        <v>93</v>
      </c>
      <c r="Q115" s="12" t="s">
        <v>506</v>
      </c>
      <c r="R115" t="s">
        <v>512</v>
      </c>
      <c r="S115" s="12" t="s">
        <v>487</v>
      </c>
    </row>
    <row r="116" spans="1:19" ht="105" x14ac:dyDescent="0.25">
      <c r="A116" s="3">
        <v>155</v>
      </c>
      <c r="B116" s="3" t="s">
        <v>531</v>
      </c>
      <c r="C116" s="4" t="s">
        <v>9</v>
      </c>
      <c r="D116" s="12" t="s">
        <v>9</v>
      </c>
      <c r="E116" s="13" t="s">
        <v>533</v>
      </c>
      <c r="F116" s="4" t="s">
        <v>532</v>
      </c>
      <c r="G116" s="3" t="s">
        <v>517</v>
      </c>
      <c r="H116" s="3" t="s">
        <v>366</v>
      </c>
      <c r="I116" s="3">
        <f>VLOOKUP(H116,cardsort_group_IDs!A:B,2,0)</f>
        <v>203</v>
      </c>
      <c r="J116" s="3" t="s">
        <v>71</v>
      </c>
      <c r="K116" s="3">
        <f>VLOOKUP(J116,cardsort_subgroup_IDs!A:B,2,0)</f>
        <v>322</v>
      </c>
      <c r="L116" s="3">
        <f t="shared" si="34"/>
        <v>1</v>
      </c>
      <c r="M116" s="3">
        <f t="shared" si="10"/>
        <v>0</v>
      </c>
      <c r="N116" s="3">
        <f t="shared" si="11"/>
        <v>2</v>
      </c>
      <c r="O116" s="3">
        <f t="shared" si="35"/>
        <v>2</v>
      </c>
      <c r="P116" s="12" t="s">
        <v>436</v>
      </c>
      <c r="Q116" s="12" t="s">
        <v>506</v>
      </c>
      <c r="R116" t="s">
        <v>511</v>
      </c>
      <c r="S116" s="12" t="s">
        <v>701</v>
      </c>
    </row>
    <row r="117" spans="1:19" ht="30" x14ac:dyDescent="0.25">
      <c r="A117" s="3">
        <v>156</v>
      </c>
      <c r="B117" s="3" t="s">
        <v>534</v>
      </c>
      <c r="C117" s="4" t="s">
        <v>535</v>
      </c>
      <c r="D117" s="12" t="s">
        <v>538</v>
      </c>
      <c r="E117" s="13" t="s">
        <v>539</v>
      </c>
      <c r="F117" s="4" t="s">
        <v>537</v>
      </c>
      <c r="G117" s="3" t="s">
        <v>517</v>
      </c>
      <c r="H117" s="3" t="s">
        <v>30</v>
      </c>
      <c r="I117" s="3">
        <f>VLOOKUP(H117,cardsort_group_IDs!A:B,2,0)</f>
        <v>205</v>
      </c>
      <c r="J117" s="3" t="s">
        <v>61</v>
      </c>
      <c r="K117" s="3">
        <f>VLOOKUP(J117,cardsort_subgroup_IDs!A:B,2,0)</f>
        <v>319</v>
      </c>
      <c r="L117" s="3">
        <f t="shared" si="34"/>
        <v>3</v>
      </c>
      <c r="M117" s="3">
        <f t="shared" si="10"/>
        <v>1</v>
      </c>
      <c r="N117" s="3">
        <f t="shared" si="11"/>
        <v>1</v>
      </c>
      <c r="O117" s="3">
        <f t="shared" si="35"/>
        <v>2</v>
      </c>
      <c r="P117" s="12" t="s">
        <v>436</v>
      </c>
      <c r="Q117" s="12" t="s">
        <v>507</v>
      </c>
      <c r="R117" t="s">
        <v>513</v>
      </c>
      <c r="S117" s="12" t="s">
        <v>9</v>
      </c>
    </row>
    <row r="118" spans="1:19" ht="90" x14ac:dyDescent="0.25">
      <c r="A118" s="3">
        <v>157</v>
      </c>
      <c r="B118" s="3" t="s">
        <v>543</v>
      </c>
      <c r="C118" t="s">
        <v>544</v>
      </c>
      <c r="D118" s="12" t="s">
        <v>556</v>
      </c>
      <c r="E118" s="13" t="s">
        <v>546</v>
      </c>
      <c r="F118" s="4" t="s">
        <v>545</v>
      </c>
      <c r="G118" s="3" t="s">
        <v>517</v>
      </c>
      <c r="H118" s="3" t="s">
        <v>366</v>
      </c>
      <c r="I118" s="3">
        <f>VLOOKUP(H118,cardsort_group_IDs!A:B,2,0)</f>
        <v>203</v>
      </c>
      <c r="J118" s="3" t="s">
        <v>23</v>
      </c>
      <c r="K118" s="3">
        <f>VLOOKUP(J118,cardsort_subgroup_IDs!A:B,2,0)</f>
        <v>305</v>
      </c>
      <c r="L118" s="3">
        <f t="shared" ref="L118" si="36">IF(E118="-",0,1)+IF(D118="-",0,2)</f>
        <v>3</v>
      </c>
      <c r="M118" s="3">
        <f t="shared" ref="M118:M119" si="37">IF(D118="-",0,LEN(D118)-LEN(SUBSTITUTE(D118,";",""))+1)</f>
        <v>4</v>
      </c>
      <c r="N118" s="3">
        <f t="shared" ref="N118" si="38">IF(E118="-",0,LEN(E118)-LEN(SUBSTITUTE(E118,";",""))+1)</f>
        <v>1</v>
      </c>
      <c r="O118" s="3">
        <f t="shared" ref="O118" si="39">SUM(M118:N118)</f>
        <v>5</v>
      </c>
      <c r="P118" s="12" t="s">
        <v>436</v>
      </c>
      <c r="Q118" s="12" t="s">
        <v>506</v>
      </c>
      <c r="R118" t="s">
        <v>511</v>
      </c>
      <c r="S118" s="12" t="s">
        <v>558</v>
      </c>
    </row>
    <row r="119" spans="1:19" ht="30" x14ac:dyDescent="0.25">
      <c r="A119" s="3">
        <v>158</v>
      </c>
      <c r="B119" s="3" t="s">
        <v>797</v>
      </c>
      <c r="C119" s="4" t="s">
        <v>730</v>
      </c>
      <c r="D119" s="12" t="s">
        <v>9</v>
      </c>
      <c r="E119" s="13">
        <v>505</v>
      </c>
      <c r="F119" s="4" t="s">
        <v>802</v>
      </c>
      <c r="G119" s="3" t="s">
        <v>517</v>
      </c>
      <c r="H119" s="3" t="s">
        <v>30</v>
      </c>
      <c r="I119" s="3">
        <f>VLOOKUP(H119,cardsort_group_IDs!A:B,2,0)</f>
        <v>205</v>
      </c>
      <c r="J119" s="3" t="s">
        <v>31</v>
      </c>
      <c r="K119" s="3">
        <f>VLOOKUP(J119,cardsort_subgroup_IDs!A:B,2,0)</f>
        <v>308</v>
      </c>
      <c r="L119" s="3">
        <f t="shared" ref="L119" si="40">IF(E119="-",0,1)+IF(D119="-",0,2)</f>
        <v>1</v>
      </c>
      <c r="M119" s="3">
        <f t="shared" si="37"/>
        <v>0</v>
      </c>
      <c r="N119" s="3">
        <f t="shared" ref="N119" si="41">IF(E119="-",0,LEN(E119)-LEN(SUBSTITUTE(E119,";",""))+1)</f>
        <v>1</v>
      </c>
      <c r="O119" s="3">
        <f t="shared" ref="O119" si="42">SUM(M119:N119)</f>
        <v>1</v>
      </c>
      <c r="P119" s="12" t="s">
        <v>436</v>
      </c>
      <c r="Q119" s="12" t="s">
        <v>507</v>
      </c>
      <c r="R119" t="s">
        <v>512</v>
      </c>
      <c r="S119" s="12" t="s">
        <v>9</v>
      </c>
    </row>
    <row r="120" spans="1:19" ht="45" x14ac:dyDescent="0.25">
      <c r="A120" s="3">
        <v>159</v>
      </c>
      <c r="B120" s="3" t="s">
        <v>656</v>
      </c>
      <c r="C120" t="s">
        <v>659</v>
      </c>
      <c r="D120" s="12" t="s">
        <v>9</v>
      </c>
      <c r="E120" s="13" t="s">
        <v>664</v>
      </c>
      <c r="F120" s="4" t="s">
        <v>660</v>
      </c>
      <c r="G120" s="3" t="s">
        <v>517</v>
      </c>
      <c r="H120" s="3" t="s">
        <v>15</v>
      </c>
      <c r="I120" s="3">
        <f>VLOOKUP(H120,cardsort_group_IDs!A:B,2,0)</f>
        <v>204</v>
      </c>
      <c r="J120" s="3" t="s">
        <v>24</v>
      </c>
      <c r="K120" s="3">
        <f>VLOOKUP(J120,cardsort_subgroup_IDs!A:B,2,0)</f>
        <v>306</v>
      </c>
      <c r="L120" s="3">
        <f t="shared" ref="L120" si="43">IF(E120="-",0,1)+IF(D120="-",0,2)</f>
        <v>1</v>
      </c>
      <c r="M120" s="3">
        <f t="shared" ref="M120" si="44">IF(D120="-",0,LEN(D120)-LEN(SUBSTITUTE(D120,";",""))+1)</f>
        <v>0</v>
      </c>
      <c r="N120" s="3">
        <f t="shared" ref="N120" si="45">IF(E120="-",0,LEN(E120)-LEN(SUBSTITUTE(E120,";",""))+1)</f>
        <v>2</v>
      </c>
      <c r="O120" s="3">
        <f t="shared" ref="O120" si="46">SUM(M120:N120)</f>
        <v>2</v>
      </c>
      <c r="P120" s="12" t="s">
        <v>436</v>
      </c>
      <c r="Q120" s="12" t="s">
        <v>507</v>
      </c>
      <c r="R120" t="s">
        <v>512</v>
      </c>
      <c r="S120" s="12" t="s">
        <v>661</v>
      </c>
    </row>
    <row r="121" spans="1:19" ht="75" x14ac:dyDescent="0.25">
      <c r="A121" s="3">
        <v>160</v>
      </c>
      <c r="B121" s="3" t="s">
        <v>657</v>
      </c>
      <c r="C121" t="s">
        <v>665</v>
      </c>
      <c r="D121" s="12" t="s">
        <v>9</v>
      </c>
      <c r="E121" s="13" t="s">
        <v>671</v>
      </c>
      <c r="F121" s="4" t="s">
        <v>666</v>
      </c>
      <c r="G121" s="3" t="s">
        <v>517</v>
      </c>
      <c r="H121" s="3" t="s">
        <v>15</v>
      </c>
      <c r="I121" s="3">
        <f>VLOOKUP(H121,cardsort_group_IDs!A:B,2,0)</f>
        <v>204</v>
      </c>
      <c r="J121" s="3" t="s">
        <v>48</v>
      </c>
      <c r="K121" s="3">
        <f>VLOOKUP(J121,cardsort_subgroup_IDs!A:B,2,0)</f>
        <v>314</v>
      </c>
      <c r="L121" s="3">
        <f t="shared" ref="L121" si="47">IF(E121="-",0,1)+IF(D121="-",0,2)</f>
        <v>1</v>
      </c>
      <c r="M121" s="3">
        <f t="shared" ref="M121" si="48">IF(D121="-",0,LEN(D121)-LEN(SUBSTITUTE(D121,";",""))+1)</f>
        <v>0</v>
      </c>
      <c r="N121" s="3">
        <f t="shared" ref="N121" si="49">IF(E121="-",0,LEN(E121)-LEN(SUBSTITUTE(E121,";",""))+1)</f>
        <v>2</v>
      </c>
      <c r="O121" s="3">
        <f t="shared" ref="O121" si="50">SUM(M121:N121)</f>
        <v>2</v>
      </c>
      <c r="P121" s="12" t="s">
        <v>436</v>
      </c>
      <c r="Q121" s="12" t="s">
        <v>507</v>
      </c>
      <c r="R121" t="s">
        <v>511</v>
      </c>
      <c r="S121" s="12" t="s">
        <v>667</v>
      </c>
    </row>
    <row r="122" spans="1:19" ht="45" x14ac:dyDescent="0.25">
      <c r="A122" s="3">
        <v>161</v>
      </c>
      <c r="B122" s="3" t="s">
        <v>658</v>
      </c>
      <c r="C122" s="4" t="s">
        <v>672</v>
      </c>
      <c r="D122" s="12" t="s">
        <v>9</v>
      </c>
      <c r="E122" s="13" t="s">
        <v>673</v>
      </c>
      <c r="F122" s="4" t="s">
        <v>674</v>
      </c>
      <c r="G122" s="3" t="s">
        <v>517</v>
      </c>
      <c r="H122" s="3" t="s">
        <v>15</v>
      </c>
      <c r="I122" s="3">
        <f>VLOOKUP(H122,cardsort_group_IDs!A:B,2,0)</f>
        <v>204</v>
      </c>
      <c r="J122" s="3" t="s">
        <v>48</v>
      </c>
      <c r="K122" s="3">
        <f>VLOOKUP(J122,cardsort_subgroup_IDs!A:B,2,0)</f>
        <v>314</v>
      </c>
      <c r="L122" s="3">
        <f t="shared" ref="L122" si="51">IF(E122="-",0,1)+IF(D122="-",0,2)</f>
        <v>1</v>
      </c>
      <c r="M122" s="3">
        <f t="shared" ref="M122" si="52">IF(D122="-",0,LEN(D122)-LEN(SUBSTITUTE(D122,";",""))+1)</f>
        <v>0</v>
      </c>
      <c r="N122" s="3">
        <f t="shared" ref="N122:N124" si="53">IF(E122="-",0,LEN(E122)-LEN(SUBSTITUTE(E122,";",""))+1)</f>
        <v>2</v>
      </c>
      <c r="O122" s="3">
        <f t="shared" ref="O122:O124" si="54">SUM(M122:N122)</f>
        <v>2</v>
      </c>
      <c r="P122" s="12" t="s">
        <v>436</v>
      </c>
      <c r="Q122" s="12" t="s">
        <v>507</v>
      </c>
      <c r="R122" t="s">
        <v>511</v>
      </c>
      <c r="S122" s="12" t="s">
        <v>675</v>
      </c>
    </row>
    <row r="123" spans="1:19" ht="60" x14ac:dyDescent="0.25">
      <c r="A123" s="3">
        <v>162</v>
      </c>
      <c r="B123" s="3" t="s">
        <v>822</v>
      </c>
      <c r="C123" s="4" t="s">
        <v>9</v>
      </c>
      <c r="D123" s="13" t="s">
        <v>9</v>
      </c>
      <c r="E123" s="13" t="s">
        <v>823</v>
      </c>
      <c r="F123" s="4" t="s">
        <v>824</v>
      </c>
      <c r="G123" s="3" t="s">
        <v>517</v>
      </c>
      <c r="H123" s="3" t="s">
        <v>366</v>
      </c>
      <c r="I123" s="3">
        <f>VLOOKUP(H123,cardsort_group_IDs!A:B,2,0)</f>
        <v>203</v>
      </c>
      <c r="J123" s="3" t="s">
        <v>26</v>
      </c>
      <c r="K123" s="3">
        <f>VLOOKUP(J123,cardsort_subgroup_IDs!A:B,2,0)</f>
        <v>307</v>
      </c>
      <c r="L123" s="3">
        <f t="shared" ref="L123:L124" si="55">IF(E123="-",0,1)+IF(D123="-",0,2)</f>
        <v>1</v>
      </c>
      <c r="M123" s="3">
        <f t="shared" ref="M123:M124" si="56">IF(D123="-",0,LEN(D123)-LEN(SUBSTITUTE(D123,";",""))+1)</f>
        <v>0</v>
      </c>
      <c r="N123" s="3">
        <f t="shared" si="53"/>
        <v>1</v>
      </c>
      <c r="O123" s="3">
        <f t="shared" si="54"/>
        <v>1</v>
      </c>
      <c r="P123" s="12" t="s">
        <v>436</v>
      </c>
      <c r="Q123" s="12" t="s">
        <v>506</v>
      </c>
      <c r="R123" t="s">
        <v>825</v>
      </c>
      <c r="S123" s="12" t="s">
        <v>826</v>
      </c>
    </row>
    <row r="124" spans="1:19" ht="30" x14ac:dyDescent="0.25">
      <c r="A124" s="3">
        <v>163</v>
      </c>
      <c r="B124" s="31" t="s">
        <v>855</v>
      </c>
      <c r="C124" s="4" t="s">
        <v>869</v>
      </c>
      <c r="D124" s="12" t="s">
        <v>9</v>
      </c>
      <c r="E124" s="13" t="s">
        <v>864</v>
      </c>
      <c r="F124" s="3" t="s">
        <v>871</v>
      </c>
      <c r="G124" s="3" t="s">
        <v>516</v>
      </c>
      <c r="H124" s="3" t="s">
        <v>366</v>
      </c>
      <c r="I124" s="3">
        <f>VLOOKUP(H124,cardsort_group_IDs!A:B,2,0)</f>
        <v>203</v>
      </c>
      <c r="J124" s="3" t="s">
        <v>47</v>
      </c>
      <c r="K124" s="3">
        <f>VLOOKUP(J124,cardsort_subgroup_IDs!A:B,2,0)</f>
        <v>313</v>
      </c>
      <c r="L124" s="3">
        <f t="shared" si="55"/>
        <v>1</v>
      </c>
      <c r="M124" s="3">
        <f t="shared" si="56"/>
        <v>0</v>
      </c>
      <c r="N124" s="3">
        <f t="shared" si="53"/>
        <v>2</v>
      </c>
      <c r="O124" s="3">
        <f t="shared" si="54"/>
        <v>2</v>
      </c>
      <c r="P124" s="12" t="s">
        <v>93</v>
      </c>
      <c r="Q124" s="12" t="s">
        <v>506</v>
      </c>
      <c r="R124" t="s">
        <v>825</v>
      </c>
      <c r="S124" s="12" t="s">
        <v>870</v>
      </c>
    </row>
    <row r="125" spans="1:19" x14ac:dyDescent="0.25">
      <c r="B125" s="31"/>
    </row>
    <row r="126" spans="1:19" x14ac:dyDescent="0.25">
      <c r="B126" s="31"/>
    </row>
    <row r="127" spans="1:19" x14ac:dyDescent="0.25">
      <c r="B127" s="31"/>
    </row>
    <row r="128" spans="1:19" x14ac:dyDescent="0.25">
      <c r="B128" s="31"/>
    </row>
    <row r="129" spans="2:2" x14ac:dyDescent="0.25">
      <c r="B129" s="31"/>
    </row>
    <row r="130" spans="2:2" x14ac:dyDescent="0.25">
      <c r="B130" s="31"/>
    </row>
    <row r="131" spans="2:2" x14ac:dyDescent="0.25">
      <c r="B131" s="31"/>
    </row>
    <row r="132" spans="2:2" x14ac:dyDescent="0.25">
      <c r="B132" s="31"/>
    </row>
    <row r="133" spans="2:2" x14ac:dyDescent="0.25">
      <c r="B133" s="31"/>
    </row>
    <row r="134" spans="2:2" x14ac:dyDescent="0.25">
      <c r="B134" s="31"/>
    </row>
    <row r="135" spans="2:2" x14ac:dyDescent="0.25">
      <c r="B135" s="31"/>
    </row>
    <row r="136" spans="2:2" x14ac:dyDescent="0.25">
      <c r="B136" s="31"/>
    </row>
    <row r="137" spans="2:2" x14ac:dyDescent="0.25">
      <c r="B137" s="31"/>
    </row>
  </sheetData>
  <autoFilter ref="A1:M123" xr:uid="{00000000-0001-0000-0000-000000000000}"/>
  <phoneticPr fontId="5" type="noConversion"/>
  <conditionalFormatting sqref="B4">
    <cfRule type="duplicateValues" dxfId="41" priority="30"/>
  </conditionalFormatting>
  <conditionalFormatting sqref="B15">
    <cfRule type="duplicateValues" dxfId="40" priority="31"/>
  </conditionalFormatting>
  <conditionalFormatting sqref="B16">
    <cfRule type="duplicateValues" dxfId="39" priority="32"/>
  </conditionalFormatting>
  <conditionalFormatting sqref="B29">
    <cfRule type="duplicateValues" dxfId="38" priority="41"/>
  </conditionalFormatting>
  <conditionalFormatting sqref="B30">
    <cfRule type="duplicateValues" dxfId="37" priority="40"/>
  </conditionalFormatting>
  <conditionalFormatting sqref="B31">
    <cfRule type="duplicateValues" dxfId="36" priority="39"/>
  </conditionalFormatting>
  <conditionalFormatting sqref="B32">
    <cfRule type="duplicateValues" dxfId="35" priority="38"/>
  </conditionalFormatting>
  <conditionalFormatting sqref="B35:B38">
    <cfRule type="duplicateValues" dxfId="34" priority="47"/>
  </conditionalFormatting>
  <conditionalFormatting sqref="B41">
    <cfRule type="duplicateValues" dxfId="33" priority="36"/>
  </conditionalFormatting>
  <conditionalFormatting sqref="B42">
    <cfRule type="duplicateValues" dxfId="32" priority="35"/>
  </conditionalFormatting>
  <conditionalFormatting sqref="B43">
    <cfRule type="duplicateValues" dxfId="31" priority="34"/>
  </conditionalFormatting>
  <conditionalFormatting sqref="B63">
    <cfRule type="duplicateValues" dxfId="30" priority="16"/>
  </conditionalFormatting>
  <conditionalFormatting sqref="B75:B85 C74 B1:B73 B87:B99">
    <cfRule type="duplicateValues" dxfId="29" priority="65"/>
  </conditionalFormatting>
  <conditionalFormatting sqref="B85">
    <cfRule type="duplicateValues" dxfId="28" priority="11"/>
  </conditionalFormatting>
  <conditionalFormatting sqref="B100:B1048576">
    <cfRule type="duplicateValues" dxfId="27" priority="48"/>
  </conditionalFormatting>
  <conditionalFormatting sqref="C54">
    <cfRule type="duplicateValues" dxfId="26" priority="4"/>
  </conditionalFormatting>
  <conditionalFormatting sqref="C92">
    <cfRule type="duplicateValues" dxfId="25" priority="5"/>
  </conditionalFormatting>
  <conditionalFormatting sqref="C102">
    <cfRule type="duplicateValues" dxfId="24" priority="2"/>
  </conditionalFormatting>
  <conditionalFormatting sqref="C103">
    <cfRule type="duplicateValues" dxfId="23" priority="1"/>
  </conditionalFormatting>
  <conditionalFormatting sqref="C104">
    <cfRule type="duplicateValues" dxfId="22" priority="3"/>
  </conditionalFormatting>
  <conditionalFormatting sqref="C108">
    <cfRule type="duplicateValues" dxfId="21" priority="7"/>
  </conditionalFormatting>
  <conditionalFormatting sqref="F5">
    <cfRule type="duplicateValues" dxfId="20" priority="33"/>
  </conditionalFormatting>
  <conditionalFormatting sqref="F33">
    <cfRule type="duplicateValues" dxfId="19" priority="29"/>
  </conditionalFormatting>
  <conditionalFormatting sqref="F43">
    <cfRule type="duplicateValues" dxfId="18" priority="27"/>
    <cfRule type="duplicateValues" dxfId="17" priority="28"/>
  </conditionalFormatting>
  <conditionalFormatting sqref="F62">
    <cfRule type="duplicateValues" dxfId="16" priority="14"/>
  </conditionalFormatting>
  <conditionalFormatting sqref="F70">
    <cfRule type="duplicateValues" dxfId="15" priority="15"/>
  </conditionalFormatting>
  <conditionalFormatting sqref="F88">
    <cfRule type="duplicateValues" dxfId="14" priority="12"/>
  </conditionalFormatting>
  <conditionalFormatting sqref="J15">
    <cfRule type="duplicateValues" dxfId="13" priority="22"/>
    <cfRule type="duplicateValues" dxfId="12" priority="21"/>
  </conditionalFormatting>
  <conditionalFormatting sqref="J32">
    <cfRule type="duplicateValues" dxfId="11" priority="25"/>
    <cfRule type="duplicateValues" dxfId="10" priority="26"/>
  </conditionalFormatting>
  <conditionalFormatting sqref="J42">
    <cfRule type="duplicateValues" dxfId="9" priority="23"/>
    <cfRule type="duplicateValues" dxfId="8" priority="24"/>
  </conditionalFormatting>
  <conditionalFormatting sqref="J56">
    <cfRule type="duplicateValues" dxfId="7" priority="20"/>
    <cfRule type="duplicateValues" dxfId="6" priority="19"/>
  </conditionalFormatting>
  <conditionalFormatting sqref="J60">
    <cfRule type="duplicateValues" dxfId="5" priority="18"/>
    <cfRule type="duplicateValues" dxfId="4" priority="17"/>
  </conditionalFormatting>
  <conditionalFormatting sqref="J94">
    <cfRule type="duplicateValues" dxfId="3" priority="9"/>
    <cfRule type="duplicateValues" dxfId="2" priority="8"/>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C4F88-AAAD-435E-8324-B99D91D004B9}">
  <dimension ref="A1:E157"/>
  <sheetViews>
    <sheetView topLeftCell="A130" workbookViewId="0">
      <selection activeCell="B158" sqref="B158"/>
    </sheetView>
  </sheetViews>
  <sheetFormatPr defaultRowHeight="15" x14ac:dyDescent="0.25"/>
  <cols>
    <col min="1" max="1" width="9.140625" style="10"/>
    <col min="2" max="2" width="30.85546875" bestFit="1" customWidth="1"/>
    <col min="3" max="3" width="30.85546875" customWidth="1"/>
    <col min="4" max="4" width="85.140625" customWidth="1"/>
  </cols>
  <sheetData>
    <row r="1" spans="1:4" x14ac:dyDescent="0.25">
      <c r="A1" s="10" t="s">
        <v>277</v>
      </c>
      <c r="B1" t="s">
        <v>278</v>
      </c>
      <c r="C1" t="s">
        <v>489</v>
      </c>
      <c r="D1" s="8" t="s">
        <v>279</v>
      </c>
    </row>
    <row r="2" spans="1:4" x14ac:dyDescent="0.25">
      <c r="A2" s="10">
        <v>5</v>
      </c>
      <c r="B2" t="s">
        <v>176</v>
      </c>
      <c r="C2" t="s">
        <v>499</v>
      </c>
      <c r="D2" t="s">
        <v>177</v>
      </c>
    </row>
    <row r="3" spans="1:4" x14ac:dyDescent="0.25">
      <c r="A3" s="10">
        <v>6</v>
      </c>
      <c r="B3" t="s">
        <v>178</v>
      </c>
      <c r="C3" t="s">
        <v>499</v>
      </c>
      <c r="D3" t="s">
        <v>179</v>
      </c>
    </row>
    <row r="4" spans="1:4" x14ac:dyDescent="0.25">
      <c r="A4" s="10" t="s">
        <v>368</v>
      </c>
      <c r="B4" t="s">
        <v>239</v>
      </c>
      <c r="C4" t="s">
        <v>490</v>
      </c>
      <c r="D4" t="s">
        <v>179</v>
      </c>
    </row>
    <row r="5" spans="1:4" x14ac:dyDescent="0.25">
      <c r="A5" s="10">
        <v>7</v>
      </c>
      <c r="B5" t="s">
        <v>180</v>
      </c>
      <c r="C5" t="s">
        <v>499</v>
      </c>
      <c r="D5" t="s">
        <v>181</v>
      </c>
    </row>
    <row r="6" spans="1:4" x14ac:dyDescent="0.25">
      <c r="A6" s="10">
        <v>9</v>
      </c>
      <c r="B6" t="s">
        <v>182</v>
      </c>
      <c r="C6" t="s">
        <v>499</v>
      </c>
      <c r="D6" s="8" t="s">
        <v>183</v>
      </c>
    </row>
    <row r="7" spans="1:4" x14ac:dyDescent="0.25">
      <c r="A7" s="10">
        <v>11</v>
      </c>
      <c r="B7" t="s">
        <v>184</v>
      </c>
      <c r="C7" t="s">
        <v>499</v>
      </c>
      <c r="D7" s="8" t="s">
        <v>185</v>
      </c>
    </row>
    <row r="8" spans="1:4" x14ac:dyDescent="0.25">
      <c r="A8" s="10">
        <v>13</v>
      </c>
      <c r="B8" t="s">
        <v>186</v>
      </c>
      <c r="C8" t="s">
        <v>499</v>
      </c>
      <c r="D8" s="8" t="s">
        <v>187</v>
      </c>
    </row>
    <row r="9" spans="1:4" x14ac:dyDescent="0.25">
      <c r="A9" s="10">
        <v>14</v>
      </c>
      <c r="B9" t="s">
        <v>188</v>
      </c>
      <c r="C9" t="s">
        <v>499</v>
      </c>
      <c r="D9" s="8" t="s">
        <v>189</v>
      </c>
    </row>
    <row r="10" spans="1:4" x14ac:dyDescent="0.25">
      <c r="A10" s="10">
        <v>15</v>
      </c>
      <c r="B10" t="s">
        <v>190</v>
      </c>
      <c r="C10" t="s">
        <v>499</v>
      </c>
      <c r="D10" s="8" t="s">
        <v>191</v>
      </c>
    </row>
    <row r="11" spans="1:4" x14ac:dyDescent="0.25">
      <c r="A11" s="10">
        <v>17</v>
      </c>
      <c r="B11" t="s">
        <v>192</v>
      </c>
      <c r="C11" t="s">
        <v>499</v>
      </c>
      <c r="D11" s="8" t="s">
        <v>193</v>
      </c>
    </row>
    <row r="12" spans="1:4" x14ac:dyDescent="0.25">
      <c r="A12" s="10">
        <v>19</v>
      </c>
      <c r="B12" t="s">
        <v>385</v>
      </c>
      <c r="C12" t="s">
        <v>499</v>
      </c>
      <c r="D12" t="s">
        <v>392</v>
      </c>
    </row>
    <row r="13" spans="1:4" x14ac:dyDescent="0.25">
      <c r="A13" s="10">
        <v>20</v>
      </c>
      <c r="B13" t="s">
        <v>194</v>
      </c>
      <c r="C13" t="s">
        <v>499</v>
      </c>
      <c r="D13" s="8" t="s">
        <v>195</v>
      </c>
    </row>
    <row r="14" spans="1:4" x14ac:dyDescent="0.25">
      <c r="A14" s="10">
        <v>21</v>
      </c>
      <c r="B14" t="s">
        <v>196</v>
      </c>
      <c r="C14" t="s">
        <v>499</v>
      </c>
      <c r="D14" s="8" t="s">
        <v>197</v>
      </c>
    </row>
    <row r="15" spans="1:4" x14ac:dyDescent="0.25">
      <c r="A15" s="10">
        <v>31</v>
      </c>
      <c r="B15" t="s">
        <v>198</v>
      </c>
      <c r="C15" t="s">
        <v>499</v>
      </c>
      <c r="D15" s="8" t="s">
        <v>199</v>
      </c>
    </row>
    <row r="16" spans="1:4" x14ac:dyDescent="0.25">
      <c r="A16" s="10">
        <v>32</v>
      </c>
      <c r="B16" t="s">
        <v>200</v>
      </c>
      <c r="C16" t="s">
        <v>499</v>
      </c>
      <c r="D16" s="8" t="s">
        <v>201</v>
      </c>
    </row>
    <row r="17" spans="1:4" x14ac:dyDescent="0.25">
      <c r="A17" s="10">
        <v>36</v>
      </c>
      <c r="B17" t="s">
        <v>202</v>
      </c>
      <c r="C17" t="s">
        <v>499</v>
      </c>
      <c r="D17" s="8" t="s">
        <v>203</v>
      </c>
    </row>
    <row r="18" spans="1:4" x14ac:dyDescent="0.25">
      <c r="A18" s="10">
        <v>39</v>
      </c>
      <c r="B18" t="s">
        <v>386</v>
      </c>
      <c r="C18" t="s">
        <v>499</v>
      </c>
      <c r="D18" t="s">
        <v>391</v>
      </c>
    </row>
    <row r="19" spans="1:4" x14ac:dyDescent="0.25">
      <c r="A19" s="10">
        <v>43</v>
      </c>
      <c r="B19" t="s">
        <v>204</v>
      </c>
      <c r="C19" t="s">
        <v>499</v>
      </c>
      <c r="D19" s="8" t="s">
        <v>205</v>
      </c>
    </row>
    <row r="20" spans="1:4" x14ac:dyDescent="0.25">
      <c r="A20" s="10">
        <v>45</v>
      </c>
      <c r="B20" t="s">
        <v>206</v>
      </c>
      <c r="C20" t="s">
        <v>499</v>
      </c>
      <c r="D20" s="8" t="s">
        <v>207</v>
      </c>
    </row>
    <row r="21" spans="1:4" x14ac:dyDescent="0.25">
      <c r="A21" s="10">
        <v>46</v>
      </c>
      <c r="B21" t="s">
        <v>208</v>
      </c>
      <c r="C21" t="s">
        <v>499</v>
      </c>
      <c r="D21" s="8" t="s">
        <v>209</v>
      </c>
    </row>
    <row r="22" spans="1:4" x14ac:dyDescent="0.25">
      <c r="A22" s="10">
        <v>47</v>
      </c>
      <c r="B22" t="s">
        <v>210</v>
      </c>
      <c r="C22" t="s">
        <v>499</v>
      </c>
      <c r="D22" s="8" t="s">
        <v>211</v>
      </c>
    </row>
    <row r="23" spans="1:4" x14ac:dyDescent="0.25">
      <c r="A23" s="10">
        <v>49</v>
      </c>
      <c r="B23" t="s">
        <v>212</v>
      </c>
      <c r="C23" t="s">
        <v>499</v>
      </c>
      <c r="D23" s="8" t="s">
        <v>213</v>
      </c>
    </row>
    <row r="24" spans="1:4" x14ac:dyDescent="0.25">
      <c r="A24" s="10">
        <v>50</v>
      </c>
      <c r="B24" t="s">
        <v>214</v>
      </c>
      <c r="C24" t="s">
        <v>499</v>
      </c>
      <c r="D24" s="8" t="s">
        <v>215</v>
      </c>
    </row>
    <row r="25" spans="1:4" x14ac:dyDescent="0.25">
      <c r="A25" s="10">
        <v>51</v>
      </c>
      <c r="B25" t="s">
        <v>216</v>
      </c>
      <c r="C25" t="s">
        <v>499</v>
      </c>
      <c r="D25" s="8" t="s">
        <v>217</v>
      </c>
    </row>
    <row r="26" spans="1:4" x14ac:dyDescent="0.25">
      <c r="A26" s="10">
        <v>52</v>
      </c>
      <c r="B26" t="s">
        <v>218</v>
      </c>
      <c r="C26" t="s">
        <v>499</v>
      </c>
      <c r="D26" s="8" t="s">
        <v>219</v>
      </c>
    </row>
    <row r="27" spans="1:4" x14ac:dyDescent="0.25">
      <c r="A27" s="10">
        <v>57</v>
      </c>
      <c r="B27" t="s">
        <v>220</v>
      </c>
      <c r="C27" t="s">
        <v>499</v>
      </c>
      <c r="D27" s="8" t="s">
        <v>221</v>
      </c>
    </row>
    <row r="28" spans="1:4" x14ac:dyDescent="0.25">
      <c r="A28" s="10">
        <v>62</v>
      </c>
      <c r="B28" t="s">
        <v>222</v>
      </c>
      <c r="C28" t="s">
        <v>499</v>
      </c>
      <c r="D28" s="8" t="s">
        <v>223</v>
      </c>
    </row>
    <row r="29" spans="1:4" x14ac:dyDescent="0.25">
      <c r="A29" s="10">
        <v>70</v>
      </c>
      <c r="B29" t="s">
        <v>224</v>
      </c>
      <c r="C29" t="s">
        <v>499</v>
      </c>
      <c r="D29" s="8" t="s">
        <v>225</v>
      </c>
    </row>
    <row r="30" spans="1:4" x14ac:dyDescent="0.25">
      <c r="A30" s="10">
        <v>87</v>
      </c>
      <c r="B30" t="s">
        <v>226</v>
      </c>
      <c r="C30" t="s">
        <v>499</v>
      </c>
      <c r="D30" s="8" t="s">
        <v>227</v>
      </c>
    </row>
    <row r="31" spans="1:4" x14ac:dyDescent="0.25">
      <c r="A31" s="10">
        <v>92</v>
      </c>
      <c r="B31" t="s">
        <v>396</v>
      </c>
      <c r="C31" t="s">
        <v>499</v>
      </c>
      <c r="D31" s="8" t="s">
        <v>228</v>
      </c>
    </row>
    <row r="32" spans="1:4" ht="75" x14ac:dyDescent="0.25">
      <c r="A32" s="10">
        <v>96</v>
      </c>
      <c r="B32" t="s">
        <v>229</v>
      </c>
      <c r="C32" t="s">
        <v>499</v>
      </c>
      <c r="D32" s="8" t="s">
        <v>230</v>
      </c>
    </row>
    <row r="33" spans="1:4" x14ac:dyDescent="0.25">
      <c r="A33" s="10">
        <v>101</v>
      </c>
      <c r="B33" t="s">
        <v>231</v>
      </c>
      <c r="C33" t="s">
        <v>499</v>
      </c>
      <c r="D33" s="8" t="s">
        <v>232</v>
      </c>
    </row>
    <row r="34" spans="1:4" ht="60" x14ac:dyDescent="0.25">
      <c r="A34" s="10">
        <v>105</v>
      </c>
      <c r="B34" t="s">
        <v>843</v>
      </c>
      <c r="C34" t="s">
        <v>499</v>
      </c>
      <c r="D34" s="17" t="s">
        <v>844</v>
      </c>
    </row>
    <row r="35" spans="1:4" x14ac:dyDescent="0.25">
      <c r="A35" s="10">
        <v>108</v>
      </c>
      <c r="B35" t="s">
        <v>233</v>
      </c>
      <c r="C35" t="s">
        <v>499</v>
      </c>
      <c r="D35" s="8" t="s">
        <v>234</v>
      </c>
    </row>
    <row r="36" spans="1:4" x14ac:dyDescent="0.25">
      <c r="A36" s="10">
        <v>111</v>
      </c>
      <c r="B36" t="s">
        <v>235</v>
      </c>
      <c r="C36" t="s">
        <v>499</v>
      </c>
      <c r="D36" s="8" t="s">
        <v>236</v>
      </c>
    </row>
    <row r="37" spans="1:4" x14ac:dyDescent="0.25">
      <c r="A37" s="10">
        <v>115</v>
      </c>
      <c r="B37" t="s">
        <v>237</v>
      </c>
      <c r="C37" t="s">
        <v>499</v>
      </c>
      <c r="D37" s="8" t="s">
        <v>238</v>
      </c>
    </row>
    <row r="38" spans="1:4" x14ac:dyDescent="0.25">
      <c r="A38" s="10">
        <v>131</v>
      </c>
      <c r="B38" t="s">
        <v>240</v>
      </c>
      <c r="C38" t="s">
        <v>499</v>
      </c>
      <c r="D38" s="17" t="s">
        <v>241</v>
      </c>
    </row>
    <row r="39" spans="1:4" s="9" customFormat="1" x14ac:dyDescent="0.25">
      <c r="A39" s="10">
        <v>146</v>
      </c>
      <c r="B39" t="s">
        <v>242</v>
      </c>
      <c r="C39" t="s">
        <v>499</v>
      </c>
      <c r="D39" s="8" t="s">
        <v>243</v>
      </c>
    </row>
    <row r="40" spans="1:4" x14ac:dyDescent="0.25">
      <c r="A40" s="10">
        <v>160</v>
      </c>
      <c r="B40" t="s">
        <v>244</v>
      </c>
      <c r="C40" t="s">
        <v>499</v>
      </c>
      <c r="D40" s="8" t="s">
        <v>245</v>
      </c>
    </row>
    <row r="41" spans="1:4" ht="30" x14ac:dyDescent="0.25">
      <c r="A41" s="10">
        <v>170</v>
      </c>
      <c r="B41" t="s">
        <v>33</v>
      </c>
      <c r="C41" t="s">
        <v>490</v>
      </c>
      <c r="D41" s="8" t="s">
        <v>246</v>
      </c>
    </row>
    <row r="42" spans="1:4" ht="30" x14ac:dyDescent="0.25">
      <c r="A42" s="10">
        <v>182</v>
      </c>
      <c r="B42" t="s">
        <v>247</v>
      </c>
      <c r="C42" t="s">
        <v>499</v>
      </c>
      <c r="D42" s="8" t="s">
        <v>248</v>
      </c>
    </row>
    <row r="43" spans="1:4" x14ac:dyDescent="0.25">
      <c r="A43" s="10">
        <v>183</v>
      </c>
      <c r="B43" t="s">
        <v>249</v>
      </c>
      <c r="C43" t="s">
        <v>499</v>
      </c>
      <c r="D43" s="8" t="s">
        <v>250</v>
      </c>
    </row>
    <row r="44" spans="1:4" x14ac:dyDescent="0.25">
      <c r="A44" s="10">
        <v>192</v>
      </c>
      <c r="B44" t="s">
        <v>394</v>
      </c>
      <c r="C44" t="s">
        <v>499</v>
      </c>
      <c r="D44" s="8" t="s">
        <v>251</v>
      </c>
    </row>
    <row r="45" spans="1:4" ht="30" x14ac:dyDescent="0.25">
      <c r="A45" s="10">
        <v>199</v>
      </c>
      <c r="B45" t="s">
        <v>430</v>
      </c>
      <c r="C45" t="s">
        <v>490</v>
      </c>
      <c r="D45" s="8" t="s">
        <v>252</v>
      </c>
    </row>
    <row r="46" spans="1:4" ht="30" x14ac:dyDescent="0.25">
      <c r="A46" s="10">
        <v>201</v>
      </c>
      <c r="B46" t="s">
        <v>19</v>
      </c>
      <c r="C46" t="s">
        <v>494</v>
      </c>
      <c r="D46" s="8" t="s">
        <v>253</v>
      </c>
    </row>
    <row r="47" spans="1:4" x14ac:dyDescent="0.25">
      <c r="A47" s="10">
        <v>202</v>
      </c>
      <c r="B47" t="s">
        <v>101</v>
      </c>
      <c r="C47" t="s">
        <v>494</v>
      </c>
      <c r="D47" s="8" t="s">
        <v>255</v>
      </c>
    </row>
    <row r="48" spans="1:4" x14ac:dyDescent="0.25">
      <c r="A48" s="10">
        <v>203</v>
      </c>
      <c r="B48" t="s">
        <v>357</v>
      </c>
      <c r="C48" t="s">
        <v>490</v>
      </c>
      <c r="D48" t="s">
        <v>384</v>
      </c>
    </row>
    <row r="49" spans="1:4" x14ac:dyDescent="0.25">
      <c r="A49" s="10">
        <v>209</v>
      </c>
      <c r="B49" t="s">
        <v>156</v>
      </c>
      <c r="C49" t="s">
        <v>490</v>
      </c>
      <c r="D49" s="8" t="s">
        <v>256</v>
      </c>
    </row>
    <row r="50" spans="1:4" x14ac:dyDescent="0.25">
      <c r="A50" s="10">
        <v>214</v>
      </c>
      <c r="B50" t="s">
        <v>257</v>
      </c>
      <c r="C50" t="s">
        <v>499</v>
      </c>
      <c r="D50" s="8" t="s">
        <v>395</v>
      </c>
    </row>
    <row r="51" spans="1:4" x14ac:dyDescent="0.25">
      <c r="A51" s="10">
        <v>232</v>
      </c>
      <c r="B51" t="s">
        <v>157</v>
      </c>
      <c r="C51" t="s">
        <v>490</v>
      </c>
      <c r="D51" s="8" t="s">
        <v>258</v>
      </c>
    </row>
    <row r="52" spans="1:4" x14ac:dyDescent="0.25">
      <c r="A52" s="10">
        <v>233</v>
      </c>
      <c r="B52" t="s">
        <v>259</v>
      </c>
      <c r="C52" t="s">
        <v>499</v>
      </c>
      <c r="D52" s="8" t="s">
        <v>260</v>
      </c>
    </row>
    <row r="53" spans="1:4" x14ac:dyDescent="0.25">
      <c r="A53" s="10">
        <v>234</v>
      </c>
      <c r="B53" t="s">
        <v>261</v>
      </c>
      <c r="C53" t="s">
        <v>499</v>
      </c>
      <c r="D53" s="8" t="s">
        <v>262</v>
      </c>
    </row>
    <row r="54" spans="1:4" x14ac:dyDescent="0.25">
      <c r="A54" s="10">
        <v>235</v>
      </c>
      <c r="B54" t="s">
        <v>263</v>
      </c>
      <c r="C54" t="s">
        <v>499</v>
      </c>
      <c r="D54" s="8" t="s">
        <v>264</v>
      </c>
    </row>
    <row r="55" spans="1:4" x14ac:dyDescent="0.25">
      <c r="A55" s="10">
        <v>236</v>
      </c>
      <c r="B55" t="s">
        <v>265</v>
      </c>
      <c r="C55" t="s">
        <v>499</v>
      </c>
      <c r="D55" s="8" t="s">
        <v>266</v>
      </c>
    </row>
    <row r="56" spans="1:4" x14ac:dyDescent="0.25">
      <c r="A56" s="10">
        <v>237</v>
      </c>
      <c r="B56" t="s">
        <v>267</v>
      </c>
      <c r="C56" t="s">
        <v>499</v>
      </c>
      <c r="D56" s="8" t="s">
        <v>268</v>
      </c>
    </row>
    <row r="57" spans="1:4" x14ac:dyDescent="0.25">
      <c r="A57" s="10">
        <v>238</v>
      </c>
      <c r="B57" t="s">
        <v>269</v>
      </c>
      <c r="C57" t="s">
        <v>499</v>
      </c>
      <c r="D57" s="8" t="s">
        <v>270</v>
      </c>
    </row>
    <row r="58" spans="1:4" x14ac:dyDescent="0.25">
      <c r="A58" s="10">
        <v>241</v>
      </c>
      <c r="B58" t="s">
        <v>271</v>
      </c>
      <c r="C58" t="s">
        <v>499</v>
      </c>
      <c r="D58" s="8" t="s">
        <v>272</v>
      </c>
    </row>
    <row r="59" spans="1:4" x14ac:dyDescent="0.25">
      <c r="A59" s="10">
        <v>243</v>
      </c>
      <c r="B59" t="s">
        <v>273</v>
      </c>
      <c r="C59" t="s">
        <v>499</v>
      </c>
      <c r="D59" s="8" t="s">
        <v>274</v>
      </c>
    </row>
    <row r="60" spans="1:4" x14ac:dyDescent="0.25">
      <c r="A60" s="10">
        <v>244</v>
      </c>
      <c r="B60" t="s">
        <v>275</v>
      </c>
      <c r="C60" t="s">
        <v>499</v>
      </c>
      <c r="D60" s="8" t="s">
        <v>276</v>
      </c>
    </row>
    <row r="61" spans="1:4" x14ac:dyDescent="0.25">
      <c r="A61" s="10">
        <v>501</v>
      </c>
      <c r="B61" t="s">
        <v>281</v>
      </c>
      <c r="C61" t="s">
        <v>499</v>
      </c>
      <c r="D61" s="8" t="s">
        <v>280</v>
      </c>
    </row>
    <row r="62" spans="1:4" x14ac:dyDescent="0.25">
      <c r="A62" s="10">
        <v>502</v>
      </c>
      <c r="B62" t="s">
        <v>283</v>
      </c>
      <c r="C62" t="s">
        <v>499</v>
      </c>
      <c r="D62" s="8" t="s">
        <v>282</v>
      </c>
    </row>
    <row r="63" spans="1:4" x14ac:dyDescent="0.25">
      <c r="A63" s="10">
        <v>503</v>
      </c>
      <c r="B63" t="s">
        <v>160</v>
      </c>
      <c r="C63" t="s">
        <v>499</v>
      </c>
      <c r="D63" s="8" t="s">
        <v>315</v>
      </c>
    </row>
    <row r="64" spans="1:4" x14ac:dyDescent="0.25">
      <c r="A64" s="10">
        <v>504</v>
      </c>
      <c r="B64" t="s">
        <v>316</v>
      </c>
      <c r="C64" t="s">
        <v>499</v>
      </c>
      <c r="D64" s="8" t="s">
        <v>317</v>
      </c>
    </row>
    <row r="65" spans="1:4" x14ac:dyDescent="0.25">
      <c r="A65" s="10">
        <v>505</v>
      </c>
      <c r="B65" t="s">
        <v>284</v>
      </c>
      <c r="C65" t="s">
        <v>499</v>
      </c>
      <c r="D65" s="8" t="s">
        <v>318</v>
      </c>
    </row>
    <row r="66" spans="1:4" ht="30" x14ac:dyDescent="0.25">
      <c r="A66" s="10">
        <v>506</v>
      </c>
      <c r="B66" t="s">
        <v>50</v>
      </c>
      <c r="C66" t="s">
        <v>499</v>
      </c>
      <c r="D66" s="17" t="s">
        <v>542</v>
      </c>
    </row>
    <row r="67" spans="1:4" x14ac:dyDescent="0.25">
      <c r="A67" s="10">
        <v>507</v>
      </c>
      <c r="B67" t="s">
        <v>430</v>
      </c>
      <c r="C67" t="s">
        <v>490</v>
      </c>
      <c r="D67" s="8" t="s">
        <v>285</v>
      </c>
    </row>
    <row r="68" spans="1:4" x14ac:dyDescent="0.25">
      <c r="A68" s="10">
        <v>508</v>
      </c>
      <c r="B68" t="s">
        <v>53</v>
      </c>
      <c r="C68" t="s">
        <v>499</v>
      </c>
      <c r="D68" s="8" t="s">
        <v>286</v>
      </c>
    </row>
    <row r="69" spans="1:4" x14ac:dyDescent="0.25">
      <c r="A69" s="10">
        <v>509</v>
      </c>
      <c r="B69" t="s">
        <v>530</v>
      </c>
      <c r="C69" t="s">
        <v>499</v>
      </c>
      <c r="D69" s="8" t="s">
        <v>319</v>
      </c>
    </row>
    <row r="70" spans="1:4" x14ac:dyDescent="0.25">
      <c r="A70" s="10">
        <v>510</v>
      </c>
      <c r="B70" t="s">
        <v>388</v>
      </c>
      <c r="C70" t="s">
        <v>490</v>
      </c>
      <c r="D70" t="s">
        <v>387</v>
      </c>
    </row>
    <row r="71" spans="1:4" x14ac:dyDescent="0.25">
      <c r="A71" s="10" t="s">
        <v>329</v>
      </c>
      <c r="B71" t="s">
        <v>330</v>
      </c>
      <c r="C71" t="s">
        <v>493</v>
      </c>
      <c r="D71" s="8" t="s">
        <v>241</v>
      </c>
    </row>
    <row r="72" spans="1:4" x14ac:dyDescent="0.25">
      <c r="A72" s="10" t="s">
        <v>331</v>
      </c>
      <c r="B72" t="s">
        <v>332</v>
      </c>
      <c r="C72" t="s">
        <v>490</v>
      </c>
      <c r="D72" s="8" t="s">
        <v>241</v>
      </c>
    </row>
    <row r="73" spans="1:4" x14ac:dyDescent="0.25">
      <c r="A73" s="10" t="s">
        <v>333</v>
      </c>
      <c r="B73" t="s">
        <v>501</v>
      </c>
      <c r="C73" t="s">
        <v>493</v>
      </c>
      <c r="D73" s="8" t="s">
        <v>241</v>
      </c>
    </row>
    <row r="74" spans="1:4" x14ac:dyDescent="0.25">
      <c r="A74" s="10" t="s">
        <v>334</v>
      </c>
      <c r="B74" t="s">
        <v>335</v>
      </c>
      <c r="C74" t="s">
        <v>494</v>
      </c>
      <c r="D74" s="8" t="s">
        <v>241</v>
      </c>
    </row>
    <row r="75" spans="1:4" x14ac:dyDescent="0.25">
      <c r="A75" s="10" t="s">
        <v>336</v>
      </c>
      <c r="B75" t="s">
        <v>140</v>
      </c>
      <c r="C75" t="s">
        <v>490</v>
      </c>
      <c r="D75" s="8" t="s">
        <v>241</v>
      </c>
    </row>
    <row r="76" spans="1:4" x14ac:dyDescent="0.25">
      <c r="A76" s="10" t="s">
        <v>337</v>
      </c>
      <c r="B76" t="s">
        <v>338</v>
      </c>
      <c r="C76" t="s">
        <v>494</v>
      </c>
      <c r="D76" s="8" t="s">
        <v>241</v>
      </c>
    </row>
    <row r="77" spans="1:4" x14ac:dyDescent="0.25">
      <c r="A77" s="10" t="s">
        <v>339</v>
      </c>
      <c r="B77" t="s">
        <v>340</v>
      </c>
      <c r="C77" t="s">
        <v>490</v>
      </c>
      <c r="D77" s="8" t="s">
        <v>241</v>
      </c>
    </row>
    <row r="78" spans="1:4" x14ac:dyDescent="0.25">
      <c r="A78" s="10" t="s">
        <v>341</v>
      </c>
      <c r="B78" t="s">
        <v>86</v>
      </c>
      <c r="C78" t="s">
        <v>493</v>
      </c>
      <c r="D78" s="8" t="s">
        <v>241</v>
      </c>
    </row>
    <row r="79" spans="1:4" x14ac:dyDescent="0.25">
      <c r="A79" s="10" t="s">
        <v>342</v>
      </c>
      <c r="B79" t="s">
        <v>502</v>
      </c>
      <c r="C79" t="s">
        <v>490</v>
      </c>
      <c r="D79" s="8" t="s">
        <v>241</v>
      </c>
    </row>
    <row r="80" spans="1:4" x14ac:dyDescent="0.25">
      <c r="A80" s="10" t="s">
        <v>343</v>
      </c>
      <c r="B80" t="s">
        <v>430</v>
      </c>
      <c r="C80" t="s">
        <v>490</v>
      </c>
      <c r="D80" s="8" t="s">
        <v>241</v>
      </c>
    </row>
    <row r="81" spans="1:4" x14ac:dyDescent="0.25">
      <c r="A81" s="10" t="s">
        <v>312</v>
      </c>
      <c r="B81" t="s">
        <v>632</v>
      </c>
      <c r="C81" t="s">
        <v>490</v>
      </c>
      <c r="D81" s="8" t="s">
        <v>241</v>
      </c>
    </row>
    <row r="82" spans="1:4" x14ac:dyDescent="0.25">
      <c r="A82" s="10" t="s">
        <v>344</v>
      </c>
      <c r="B82" t="s">
        <v>488</v>
      </c>
      <c r="C82" t="s">
        <v>490</v>
      </c>
      <c r="D82" s="8" t="s">
        <v>241</v>
      </c>
    </row>
    <row r="83" spans="1:4" x14ac:dyDescent="0.25">
      <c r="A83" s="10" t="s">
        <v>345</v>
      </c>
      <c r="B83" t="s">
        <v>346</v>
      </c>
      <c r="C83" t="s">
        <v>490</v>
      </c>
      <c r="D83" s="8" t="s">
        <v>241</v>
      </c>
    </row>
    <row r="84" spans="1:4" x14ac:dyDescent="0.25">
      <c r="A84" s="10" t="s">
        <v>347</v>
      </c>
      <c r="B84" t="s">
        <v>348</v>
      </c>
      <c r="C84" t="s">
        <v>490</v>
      </c>
      <c r="D84" s="8" t="s">
        <v>241</v>
      </c>
    </row>
    <row r="85" spans="1:4" x14ac:dyDescent="0.25">
      <c r="A85" s="10" t="s">
        <v>349</v>
      </c>
      <c r="B85" t="s">
        <v>157</v>
      </c>
      <c r="C85" t="s">
        <v>490</v>
      </c>
      <c r="D85" s="8" t="s">
        <v>241</v>
      </c>
    </row>
    <row r="86" spans="1:4" x14ac:dyDescent="0.25">
      <c r="A86" s="10" t="s">
        <v>350</v>
      </c>
      <c r="B86" t="s">
        <v>351</v>
      </c>
      <c r="C86" t="s">
        <v>490</v>
      </c>
      <c r="D86" s="8" t="s">
        <v>241</v>
      </c>
    </row>
    <row r="87" spans="1:4" x14ac:dyDescent="0.25">
      <c r="A87" s="10" t="s">
        <v>352</v>
      </c>
      <c r="B87" t="s">
        <v>353</v>
      </c>
      <c r="C87" t="s">
        <v>490</v>
      </c>
      <c r="D87" s="8" t="s">
        <v>241</v>
      </c>
    </row>
    <row r="88" spans="1:4" x14ac:dyDescent="0.25">
      <c r="A88" s="10" t="s">
        <v>354</v>
      </c>
      <c r="B88" t="s">
        <v>355</v>
      </c>
      <c r="C88" t="s">
        <v>494</v>
      </c>
      <c r="D88" s="8" t="s">
        <v>241</v>
      </c>
    </row>
    <row r="89" spans="1:4" x14ac:dyDescent="0.25">
      <c r="A89" s="10" t="s">
        <v>356</v>
      </c>
      <c r="B89" t="s">
        <v>357</v>
      </c>
      <c r="C89" t="s">
        <v>490</v>
      </c>
      <c r="D89" s="8" t="s">
        <v>241</v>
      </c>
    </row>
    <row r="90" spans="1:4" x14ac:dyDescent="0.25">
      <c r="A90" s="10" t="s">
        <v>359</v>
      </c>
      <c r="B90" t="s">
        <v>355</v>
      </c>
      <c r="C90" t="s">
        <v>494</v>
      </c>
      <c r="D90" s="8" t="s">
        <v>243</v>
      </c>
    </row>
    <row r="91" spans="1:4" x14ac:dyDescent="0.25">
      <c r="A91" s="10" t="s">
        <v>360</v>
      </c>
      <c r="B91" t="s">
        <v>239</v>
      </c>
      <c r="C91" t="s">
        <v>490</v>
      </c>
      <c r="D91" s="8" t="s">
        <v>243</v>
      </c>
    </row>
    <row r="92" spans="1:4" x14ac:dyDescent="0.25">
      <c r="A92" s="10" t="s">
        <v>358</v>
      </c>
      <c r="B92" t="s">
        <v>632</v>
      </c>
      <c r="C92" t="s">
        <v>490</v>
      </c>
      <c r="D92" s="8" t="s">
        <v>250</v>
      </c>
    </row>
    <row r="93" spans="1:4" x14ac:dyDescent="0.25">
      <c r="A93" s="10" t="s">
        <v>293</v>
      </c>
      <c r="B93" t="s">
        <v>101</v>
      </c>
      <c r="C93" t="s">
        <v>494</v>
      </c>
      <c r="D93" s="8" t="s">
        <v>255</v>
      </c>
    </row>
    <row r="94" spans="1:4" x14ac:dyDescent="0.25">
      <c r="A94" s="10" t="s">
        <v>378</v>
      </c>
      <c r="B94" t="s">
        <v>239</v>
      </c>
      <c r="C94" t="s">
        <v>490</v>
      </c>
      <c r="D94" s="8" t="s">
        <v>195</v>
      </c>
    </row>
    <row r="95" spans="1:4" x14ac:dyDescent="0.25">
      <c r="A95" s="10" t="s">
        <v>383</v>
      </c>
      <c r="B95" t="s">
        <v>157</v>
      </c>
      <c r="C95" t="s">
        <v>490</v>
      </c>
      <c r="D95" s="8" t="s">
        <v>258</v>
      </c>
    </row>
    <row r="96" spans="1:4" x14ac:dyDescent="0.25">
      <c r="A96" s="10" t="s">
        <v>369</v>
      </c>
      <c r="B96" t="s">
        <v>239</v>
      </c>
      <c r="C96" t="s">
        <v>490</v>
      </c>
      <c r="D96" s="8" t="s">
        <v>201</v>
      </c>
    </row>
    <row r="97" spans="1:4" x14ac:dyDescent="0.25">
      <c r="A97" s="10" t="s">
        <v>320</v>
      </c>
      <c r="B97" t="s">
        <v>321</v>
      </c>
      <c r="C97" t="s">
        <v>490</v>
      </c>
      <c r="D97" s="8" t="s">
        <v>280</v>
      </c>
    </row>
    <row r="98" spans="1:4" x14ac:dyDescent="0.25">
      <c r="A98" s="10" t="s">
        <v>289</v>
      </c>
      <c r="B98" t="s">
        <v>58</v>
      </c>
      <c r="C98" t="s">
        <v>494</v>
      </c>
      <c r="D98" s="8" t="s">
        <v>280</v>
      </c>
    </row>
    <row r="99" spans="1:4" x14ac:dyDescent="0.25">
      <c r="A99" s="10" t="s">
        <v>290</v>
      </c>
      <c r="B99" t="s">
        <v>62</v>
      </c>
      <c r="C99" t="s">
        <v>494</v>
      </c>
      <c r="D99" s="8" t="s">
        <v>280</v>
      </c>
    </row>
    <row r="100" spans="1:4" x14ac:dyDescent="0.25">
      <c r="A100" s="10" t="s">
        <v>322</v>
      </c>
      <c r="B100" t="s">
        <v>323</v>
      </c>
      <c r="C100" t="s">
        <v>494</v>
      </c>
      <c r="D100" s="8" t="s">
        <v>280</v>
      </c>
    </row>
    <row r="101" spans="1:4" x14ac:dyDescent="0.25">
      <c r="A101" s="10" t="s">
        <v>324</v>
      </c>
      <c r="B101" t="s">
        <v>325</v>
      </c>
      <c r="C101" t="s">
        <v>494</v>
      </c>
      <c r="D101" s="8" t="s">
        <v>280</v>
      </c>
    </row>
    <row r="102" spans="1:4" x14ac:dyDescent="0.25">
      <c r="A102" s="10" t="s">
        <v>326</v>
      </c>
      <c r="B102" t="s">
        <v>327</v>
      </c>
      <c r="C102" t="s">
        <v>494</v>
      </c>
      <c r="D102" s="8" t="s">
        <v>280</v>
      </c>
    </row>
    <row r="103" spans="1:4" x14ac:dyDescent="0.25">
      <c r="A103" s="10" t="s">
        <v>292</v>
      </c>
      <c r="B103" t="s">
        <v>19</v>
      </c>
      <c r="C103" t="s">
        <v>494</v>
      </c>
      <c r="D103" s="8" t="s">
        <v>280</v>
      </c>
    </row>
    <row r="104" spans="1:4" x14ac:dyDescent="0.25">
      <c r="A104" s="10" t="s">
        <v>294</v>
      </c>
      <c r="B104" t="s">
        <v>140</v>
      </c>
      <c r="C104" t="s">
        <v>490</v>
      </c>
      <c r="D104" s="8" t="s">
        <v>280</v>
      </c>
    </row>
    <row r="105" spans="1:4" x14ac:dyDescent="0.25">
      <c r="A105" s="10" t="s">
        <v>295</v>
      </c>
      <c r="B105" t="s">
        <v>86</v>
      </c>
      <c r="C105" t="s">
        <v>493</v>
      </c>
      <c r="D105" s="8" t="s">
        <v>280</v>
      </c>
    </row>
    <row r="106" spans="1:4" x14ac:dyDescent="0.25">
      <c r="A106" s="10" t="s">
        <v>328</v>
      </c>
      <c r="B106" t="s">
        <v>502</v>
      </c>
      <c r="C106" t="s">
        <v>490</v>
      </c>
      <c r="D106" s="8" t="s">
        <v>280</v>
      </c>
    </row>
    <row r="107" spans="1:4" x14ac:dyDescent="0.25">
      <c r="A107" s="10" t="s">
        <v>296</v>
      </c>
      <c r="B107" t="s">
        <v>156</v>
      </c>
      <c r="C107" t="s">
        <v>490</v>
      </c>
      <c r="D107" s="8" t="s">
        <v>280</v>
      </c>
    </row>
    <row r="108" spans="1:4" x14ac:dyDescent="0.25">
      <c r="A108" s="10" t="s">
        <v>298</v>
      </c>
      <c r="B108" t="s">
        <v>476</v>
      </c>
      <c r="C108" t="s">
        <v>494</v>
      </c>
      <c r="D108" s="8" t="s">
        <v>280</v>
      </c>
    </row>
    <row r="109" spans="1:4" x14ac:dyDescent="0.25">
      <c r="A109" s="10" t="s">
        <v>299</v>
      </c>
      <c r="B109" t="s">
        <v>430</v>
      </c>
      <c r="C109" t="s">
        <v>490</v>
      </c>
      <c r="D109" s="8" t="s">
        <v>280</v>
      </c>
    </row>
    <row r="110" spans="1:4" x14ac:dyDescent="0.25">
      <c r="A110" s="10" t="s">
        <v>300</v>
      </c>
      <c r="B110" t="s">
        <v>157</v>
      </c>
      <c r="C110" t="s">
        <v>490</v>
      </c>
      <c r="D110" s="8" t="s">
        <v>280</v>
      </c>
    </row>
    <row r="111" spans="1:4" x14ac:dyDescent="0.25">
      <c r="A111" s="10" t="s">
        <v>313</v>
      </c>
      <c r="B111" t="s">
        <v>33</v>
      </c>
      <c r="C111" t="s">
        <v>490</v>
      </c>
      <c r="D111" s="8" t="s">
        <v>280</v>
      </c>
    </row>
    <row r="112" spans="1:4" x14ac:dyDescent="0.25">
      <c r="A112" s="10" t="s">
        <v>370</v>
      </c>
      <c r="B112" t="s">
        <v>239</v>
      </c>
      <c r="C112" t="s">
        <v>490</v>
      </c>
      <c r="D112" s="8" t="s">
        <v>177</v>
      </c>
    </row>
    <row r="113" spans="1:4" x14ac:dyDescent="0.25">
      <c r="A113" s="10" t="s">
        <v>368</v>
      </c>
      <c r="B113" t="s">
        <v>239</v>
      </c>
      <c r="C113" t="s">
        <v>490</v>
      </c>
      <c r="D113" s="8" t="s">
        <v>179</v>
      </c>
    </row>
    <row r="114" spans="1:4" x14ac:dyDescent="0.25">
      <c r="A114" s="10" t="s">
        <v>398</v>
      </c>
      <c r="B114" t="s">
        <v>399</v>
      </c>
      <c r="C114" t="s">
        <v>499</v>
      </c>
      <c r="D114" t="s">
        <v>397</v>
      </c>
    </row>
    <row r="115" spans="1:4" x14ac:dyDescent="0.25">
      <c r="A115" s="10" t="s">
        <v>400</v>
      </c>
      <c r="B115" t="s">
        <v>357</v>
      </c>
      <c r="C115" t="s">
        <v>490</v>
      </c>
      <c r="D115" t="s">
        <v>397</v>
      </c>
    </row>
    <row r="116" spans="1:4" x14ac:dyDescent="0.25">
      <c r="A116" s="10" t="s">
        <v>411</v>
      </c>
      <c r="B116" t="s">
        <v>239</v>
      </c>
      <c r="C116" t="s">
        <v>490</v>
      </c>
      <c r="D116" t="s">
        <v>397</v>
      </c>
    </row>
    <row r="117" spans="1:4" x14ac:dyDescent="0.25">
      <c r="A117" s="10" t="s">
        <v>412</v>
      </c>
      <c r="B117" t="s">
        <v>330</v>
      </c>
      <c r="C117" t="s">
        <v>493</v>
      </c>
      <c r="D117" t="s">
        <v>397</v>
      </c>
    </row>
    <row r="118" spans="1:4" x14ac:dyDescent="0.25">
      <c r="A118" s="10" t="s">
        <v>413</v>
      </c>
      <c r="B118" t="s">
        <v>401</v>
      </c>
      <c r="C118" t="s">
        <v>493</v>
      </c>
      <c r="D118" t="s">
        <v>397</v>
      </c>
    </row>
    <row r="119" spans="1:4" x14ac:dyDescent="0.25">
      <c r="A119" s="10" t="s">
        <v>414</v>
      </c>
      <c r="B119" t="s">
        <v>140</v>
      </c>
      <c r="C119" t="s">
        <v>490</v>
      </c>
      <c r="D119" t="s">
        <v>397</v>
      </c>
    </row>
    <row r="120" spans="1:4" x14ac:dyDescent="0.25">
      <c r="A120" s="10" t="s">
        <v>415</v>
      </c>
      <c r="B120" t="s">
        <v>402</v>
      </c>
      <c r="C120" t="s">
        <v>493</v>
      </c>
      <c r="D120" t="s">
        <v>397</v>
      </c>
    </row>
    <row r="121" spans="1:4" x14ac:dyDescent="0.25">
      <c r="A121" s="10" t="s">
        <v>416</v>
      </c>
      <c r="B121" t="s">
        <v>403</v>
      </c>
      <c r="C121" t="s">
        <v>490</v>
      </c>
      <c r="D121" t="s">
        <v>397</v>
      </c>
    </row>
    <row r="122" spans="1:4" x14ac:dyDescent="0.25">
      <c r="A122" s="10" t="s">
        <v>417</v>
      </c>
      <c r="B122" t="s">
        <v>427</v>
      </c>
      <c r="C122" t="s">
        <v>494</v>
      </c>
      <c r="D122" t="s">
        <v>397</v>
      </c>
    </row>
    <row r="123" spans="1:4" x14ac:dyDescent="0.25">
      <c r="A123" s="10" t="s">
        <v>418</v>
      </c>
      <c r="B123" t="s">
        <v>404</v>
      </c>
      <c r="C123" t="s">
        <v>494</v>
      </c>
      <c r="D123" t="s">
        <v>397</v>
      </c>
    </row>
    <row r="124" spans="1:4" x14ac:dyDescent="0.25">
      <c r="A124" s="10" t="s">
        <v>419</v>
      </c>
      <c r="B124" t="s">
        <v>405</v>
      </c>
      <c r="C124" t="s">
        <v>494</v>
      </c>
      <c r="D124" t="s">
        <v>397</v>
      </c>
    </row>
    <row r="125" spans="1:4" x14ac:dyDescent="0.25">
      <c r="A125" s="10" t="s">
        <v>420</v>
      </c>
      <c r="B125" t="s">
        <v>406</v>
      </c>
      <c r="C125" t="s">
        <v>494</v>
      </c>
      <c r="D125" t="s">
        <v>397</v>
      </c>
    </row>
    <row r="126" spans="1:4" x14ac:dyDescent="0.25">
      <c r="A126" s="10" t="s">
        <v>421</v>
      </c>
      <c r="B126" t="s">
        <v>407</v>
      </c>
      <c r="C126" t="s">
        <v>490</v>
      </c>
      <c r="D126" t="s">
        <v>397</v>
      </c>
    </row>
    <row r="127" spans="1:4" x14ac:dyDescent="0.25">
      <c r="A127" s="10" t="s">
        <v>422</v>
      </c>
      <c r="B127" t="s">
        <v>408</v>
      </c>
      <c r="C127" t="s">
        <v>494</v>
      </c>
      <c r="D127" t="s">
        <v>397</v>
      </c>
    </row>
    <row r="128" spans="1:4" x14ac:dyDescent="0.25">
      <c r="A128" s="10" t="s">
        <v>423</v>
      </c>
      <c r="B128" t="s">
        <v>409</v>
      </c>
      <c r="C128" t="s">
        <v>494</v>
      </c>
      <c r="D128" t="s">
        <v>397</v>
      </c>
    </row>
    <row r="129" spans="1:4" x14ac:dyDescent="0.25">
      <c r="A129" s="10" t="s">
        <v>424</v>
      </c>
      <c r="B129" t="s">
        <v>426</v>
      </c>
      <c r="C129" t="s">
        <v>490</v>
      </c>
      <c r="D129" t="s">
        <v>397</v>
      </c>
    </row>
    <row r="130" spans="1:4" x14ac:dyDescent="0.25">
      <c r="A130" s="10" t="s">
        <v>425</v>
      </c>
      <c r="B130" t="s">
        <v>410</v>
      </c>
      <c r="C130" t="s">
        <v>493</v>
      </c>
      <c r="D130" t="s">
        <v>397</v>
      </c>
    </row>
    <row r="131" spans="1:4" x14ac:dyDescent="0.25">
      <c r="A131" s="10" t="s">
        <v>448</v>
      </c>
      <c r="B131" t="s">
        <v>449</v>
      </c>
      <c r="C131" t="s">
        <v>490</v>
      </c>
      <c r="D131" t="s">
        <v>397</v>
      </c>
    </row>
    <row r="132" spans="1:4" x14ac:dyDescent="0.25">
      <c r="A132" s="10" t="s">
        <v>456</v>
      </c>
      <c r="B132" t="s">
        <v>430</v>
      </c>
      <c r="C132" t="s">
        <v>490</v>
      </c>
      <c r="D132" t="s">
        <v>397</v>
      </c>
    </row>
    <row r="133" spans="1:4" x14ac:dyDescent="0.25">
      <c r="A133" s="10" t="s">
        <v>475</v>
      </c>
      <c r="B133" t="s">
        <v>254</v>
      </c>
      <c r="C133" t="s">
        <v>499</v>
      </c>
      <c r="D133" t="s">
        <v>474</v>
      </c>
    </row>
    <row r="134" spans="1:4" x14ac:dyDescent="0.25">
      <c r="A134" s="10" t="s">
        <v>480</v>
      </c>
      <c r="B134" t="s">
        <v>482</v>
      </c>
      <c r="C134" t="s">
        <v>499</v>
      </c>
      <c r="D134" t="s">
        <v>481</v>
      </c>
    </row>
    <row r="135" spans="1:4" x14ac:dyDescent="0.25">
      <c r="A135" s="10" t="s">
        <v>521</v>
      </c>
      <c r="B135" t="s">
        <v>522</v>
      </c>
      <c r="C135" t="s">
        <v>499</v>
      </c>
      <c r="D135" t="s">
        <v>523</v>
      </c>
    </row>
    <row r="136" spans="1:4" x14ac:dyDescent="0.25">
      <c r="A136" s="10" t="s">
        <v>539</v>
      </c>
      <c r="B136" t="s">
        <v>541</v>
      </c>
      <c r="C136" t="s">
        <v>499</v>
      </c>
      <c r="D136" t="s">
        <v>536</v>
      </c>
    </row>
    <row r="137" spans="1:4" x14ac:dyDescent="0.25">
      <c r="A137" s="10" t="s">
        <v>538</v>
      </c>
      <c r="B137" t="s">
        <v>488</v>
      </c>
      <c r="C137" t="s">
        <v>490</v>
      </c>
      <c r="D137" t="s">
        <v>540</v>
      </c>
    </row>
    <row r="138" spans="1:4" x14ac:dyDescent="0.25">
      <c r="A138" s="10" t="s">
        <v>546</v>
      </c>
      <c r="B138" t="s">
        <v>548</v>
      </c>
      <c r="C138" t="s">
        <v>499</v>
      </c>
      <c r="D138" t="s">
        <v>547</v>
      </c>
    </row>
    <row r="139" spans="1:4" x14ac:dyDescent="0.25">
      <c r="A139" s="10" t="s">
        <v>549</v>
      </c>
      <c r="B139" t="s">
        <v>488</v>
      </c>
      <c r="C139" t="s">
        <v>490</v>
      </c>
      <c r="D139" t="s">
        <v>550</v>
      </c>
    </row>
    <row r="140" spans="1:4" x14ac:dyDescent="0.25">
      <c r="A140" s="10" t="s">
        <v>551</v>
      </c>
      <c r="B140" t="s">
        <v>576</v>
      </c>
      <c r="C140" t="s">
        <v>490</v>
      </c>
      <c r="D140" t="s">
        <v>554</v>
      </c>
    </row>
    <row r="141" spans="1:4" x14ac:dyDescent="0.25">
      <c r="A141" s="10" t="s">
        <v>552</v>
      </c>
      <c r="B141" t="s">
        <v>239</v>
      </c>
      <c r="C141" t="s">
        <v>490</v>
      </c>
      <c r="D141" t="s">
        <v>238</v>
      </c>
    </row>
    <row r="142" spans="1:4" x14ac:dyDescent="0.25">
      <c r="A142" s="10" t="s">
        <v>553</v>
      </c>
      <c r="B142" t="s">
        <v>430</v>
      </c>
      <c r="C142" t="s">
        <v>490</v>
      </c>
      <c r="D142" t="s">
        <v>555</v>
      </c>
    </row>
    <row r="143" spans="1:4" x14ac:dyDescent="0.25">
      <c r="A143" s="10" t="s">
        <v>563</v>
      </c>
      <c r="B143" t="s">
        <v>578</v>
      </c>
      <c r="C143" t="s">
        <v>490</v>
      </c>
      <c r="D143" t="s">
        <v>564</v>
      </c>
    </row>
    <row r="144" spans="1:4" x14ac:dyDescent="0.25">
      <c r="A144" s="10" t="s">
        <v>566</v>
      </c>
      <c r="B144" t="s">
        <v>567</v>
      </c>
      <c r="C144" t="s">
        <v>499</v>
      </c>
      <c r="D144" t="s">
        <v>568</v>
      </c>
    </row>
    <row r="145" spans="1:5" x14ac:dyDescent="0.25">
      <c r="A145" s="10" t="s">
        <v>612</v>
      </c>
      <c r="B145" t="s">
        <v>156</v>
      </c>
      <c r="C145" t="s">
        <v>490</v>
      </c>
      <c r="D145" t="s">
        <v>613</v>
      </c>
    </row>
    <row r="146" spans="1:5" x14ac:dyDescent="0.25">
      <c r="A146" s="10" t="s">
        <v>629</v>
      </c>
      <c r="B146" t="s">
        <v>140</v>
      </c>
      <c r="C146" t="s">
        <v>490</v>
      </c>
      <c r="D146" s="25" t="s">
        <v>630</v>
      </c>
    </row>
    <row r="147" spans="1:5" x14ac:dyDescent="0.25">
      <c r="A147" s="10" t="s">
        <v>636</v>
      </c>
      <c r="B147" t="s">
        <v>637</v>
      </c>
      <c r="C147" t="s">
        <v>499</v>
      </c>
      <c r="D147" t="s">
        <v>638</v>
      </c>
    </row>
    <row r="148" spans="1:5" x14ac:dyDescent="0.25">
      <c r="A148" s="10" t="s">
        <v>662</v>
      </c>
      <c r="B148" t="s">
        <v>668</v>
      </c>
      <c r="C148" t="s">
        <v>499</v>
      </c>
      <c r="D148" t="s">
        <v>663</v>
      </c>
    </row>
    <row r="149" spans="1:5" x14ac:dyDescent="0.25">
      <c r="A149" s="10" t="s">
        <v>669</v>
      </c>
      <c r="B149" t="s">
        <v>668</v>
      </c>
      <c r="C149" t="s">
        <v>499</v>
      </c>
      <c r="D149" t="s">
        <v>670</v>
      </c>
    </row>
    <row r="150" spans="1:5" x14ac:dyDescent="0.25">
      <c r="A150" s="10" t="s">
        <v>677</v>
      </c>
      <c r="B150" t="s">
        <v>668</v>
      </c>
      <c r="C150" t="s">
        <v>499</v>
      </c>
      <c r="D150" t="s">
        <v>676</v>
      </c>
    </row>
    <row r="151" spans="1:5" x14ac:dyDescent="0.25">
      <c r="A151" s="10" t="s">
        <v>678</v>
      </c>
      <c r="B151" t="s">
        <v>680</v>
      </c>
      <c r="C151" t="s">
        <v>499</v>
      </c>
      <c r="D151" t="s">
        <v>679</v>
      </c>
    </row>
    <row r="152" spans="1:5" x14ac:dyDescent="0.25">
      <c r="A152" s="10" t="s">
        <v>823</v>
      </c>
      <c r="B152" t="s">
        <v>833</v>
      </c>
      <c r="C152" t="s">
        <v>499</v>
      </c>
      <c r="D152" t="s">
        <v>827</v>
      </c>
    </row>
    <row r="153" spans="1:5" x14ac:dyDescent="0.25">
      <c r="A153" s="10" t="s">
        <v>846</v>
      </c>
      <c r="B153" t="s">
        <v>847</v>
      </c>
      <c r="C153" t="s">
        <v>499</v>
      </c>
      <c r="D153" t="s">
        <v>845</v>
      </c>
    </row>
    <row r="154" spans="1:5" x14ac:dyDescent="0.25">
      <c r="A154" s="10" t="s">
        <v>856</v>
      </c>
      <c r="B154" t="s">
        <v>338</v>
      </c>
      <c r="C154" t="s">
        <v>499</v>
      </c>
      <c r="D154" t="s">
        <v>858</v>
      </c>
      <c r="E154" s="30" t="s">
        <v>860</v>
      </c>
    </row>
    <row r="155" spans="1:5" x14ac:dyDescent="0.25">
      <c r="A155" s="10" t="s">
        <v>857</v>
      </c>
      <c r="B155" t="s">
        <v>254</v>
      </c>
      <c r="C155" t="s">
        <v>499</v>
      </c>
      <c r="D155" t="s">
        <v>859</v>
      </c>
      <c r="E155" s="30" t="s">
        <v>860</v>
      </c>
    </row>
    <row r="156" spans="1:5" x14ac:dyDescent="0.25">
      <c r="A156" s="10" t="s">
        <v>867</v>
      </c>
      <c r="B156" t="s">
        <v>863</v>
      </c>
      <c r="C156" t="s">
        <v>499</v>
      </c>
      <c r="D156" t="s">
        <v>862</v>
      </c>
    </row>
    <row r="157" spans="1:5" x14ac:dyDescent="0.25">
      <c r="A157" s="10" t="s">
        <v>866</v>
      </c>
      <c r="B157" t="s">
        <v>868</v>
      </c>
      <c r="C157" t="s">
        <v>499</v>
      </c>
      <c r="D157" t="s">
        <v>865</v>
      </c>
    </row>
  </sheetData>
  <autoFilter ref="A1:D113" xr:uid="{854C4F88-AAAD-435E-8324-B99D91D004B9}">
    <sortState xmlns:xlrd2="http://schemas.microsoft.com/office/spreadsheetml/2017/richdata2" ref="A2:D114">
      <sortCondition ref="A1:A113"/>
    </sortState>
  </autoFilter>
  <hyperlinks>
    <hyperlink ref="D66" r:id="rId1" xr:uid="{59EFEB55-B7A4-4807-A75B-EA48D4BA0ABA}"/>
    <hyperlink ref="D38" r:id="rId2" xr:uid="{05A245B2-AD20-486B-88B8-B028211744BE}"/>
    <hyperlink ref="D34" r:id="rId3" display="https://www.researchgate.net/profile/Charles-James-16/publication/385353040_Assessing_Developer_Productivity_and_Error_Reduction_with_TDD_and_BDD_Metrics/links/67218c1277f274616d50507b/Assessing-Developer-Productivity-and-Error-Reduction-with-TDD-and-BDD-Metrics.pdf" xr:uid="{6D467FCD-7A72-44F9-BB6D-1872ED2B26D2}"/>
  </hyperlinks>
  <pageMargins left="0.7" right="0.7" top="0.75" bottom="0.75" header="0.3" footer="0.3"/>
  <pageSetup orientation="portrait" r:id="rId4"/>
  <extLst>
    <ext xmlns:x14="http://schemas.microsoft.com/office/spreadsheetml/2009/9/main" uri="{CCE6A557-97BC-4b89-ADB6-D9C93CAAB3DF}">
      <x14:dataValidations xmlns:xm="http://schemas.microsoft.com/office/excel/2006/main" count="1">
        <x14:dataValidation type="list" allowBlank="1" showInputMessage="1" showErrorMessage="1" xr:uid="{C3AF502F-D1AD-4813-A4FB-E37B2777E9D6}">
          <x14:formula1>
            <xm:f>company_sizes!$A$2:$A$6</xm:f>
          </x14:formula1>
          <xm:sqref>C1:C1048576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E0007-DBA3-40E7-A82A-A06DA06FDAC0}">
  <dimension ref="A1:B8"/>
  <sheetViews>
    <sheetView workbookViewId="0">
      <selection activeCell="A8" sqref="A8"/>
    </sheetView>
  </sheetViews>
  <sheetFormatPr defaultRowHeight="15" x14ac:dyDescent="0.25"/>
  <cols>
    <col min="1" max="1" width="27.42578125" customWidth="1"/>
  </cols>
  <sheetData>
    <row r="1" spans="1:2" x14ac:dyDescent="0.25">
      <c r="A1" s="3" t="s">
        <v>10</v>
      </c>
      <c r="B1">
        <v>201</v>
      </c>
    </row>
    <row r="2" spans="1:2" x14ac:dyDescent="0.25">
      <c r="A2" s="3" t="s">
        <v>21</v>
      </c>
      <c r="B2">
        <v>202</v>
      </c>
    </row>
    <row r="3" spans="1:2" x14ac:dyDescent="0.25">
      <c r="A3" t="s">
        <v>366</v>
      </c>
      <c r="B3">
        <v>203</v>
      </c>
    </row>
    <row r="4" spans="1:2" x14ac:dyDescent="0.25">
      <c r="A4" s="3" t="s">
        <v>15</v>
      </c>
      <c r="B4">
        <v>204</v>
      </c>
    </row>
    <row r="5" spans="1:2" x14ac:dyDescent="0.25">
      <c r="A5" s="3" t="s">
        <v>30</v>
      </c>
      <c r="B5">
        <v>205</v>
      </c>
    </row>
    <row r="6" spans="1:2" x14ac:dyDescent="0.25">
      <c r="A6" s="3" t="s">
        <v>42</v>
      </c>
      <c r="B6">
        <v>206</v>
      </c>
    </row>
    <row r="7" spans="1:2" x14ac:dyDescent="0.25">
      <c r="A7" s="3" t="s">
        <v>46</v>
      </c>
      <c r="B7">
        <v>207</v>
      </c>
    </row>
    <row r="8" spans="1:2" x14ac:dyDescent="0.25">
      <c r="A8" s="3" t="s">
        <v>56</v>
      </c>
      <c r="B8">
        <v>208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C7A03-1149-406F-B777-94A46BF40AD3}">
  <dimension ref="A1:B32"/>
  <sheetViews>
    <sheetView workbookViewId="0">
      <selection activeCell="A12" sqref="A12"/>
    </sheetView>
  </sheetViews>
  <sheetFormatPr defaultRowHeight="15" x14ac:dyDescent="0.25"/>
  <cols>
    <col min="1" max="1" width="30.140625" bestFit="1" customWidth="1"/>
  </cols>
  <sheetData>
    <row r="1" spans="1:2" x14ac:dyDescent="0.25">
      <c r="A1" s="3" t="s">
        <v>11</v>
      </c>
      <c r="B1">
        <v>301</v>
      </c>
    </row>
    <row r="2" spans="1:2" x14ac:dyDescent="0.25">
      <c r="A2" s="3" t="s">
        <v>17</v>
      </c>
      <c r="B2">
        <v>302</v>
      </c>
    </row>
    <row r="3" spans="1:2" x14ac:dyDescent="0.25">
      <c r="A3" s="3" t="s">
        <v>22</v>
      </c>
      <c r="B3">
        <v>303</v>
      </c>
    </row>
    <row r="4" spans="1:2" x14ac:dyDescent="0.25">
      <c r="A4" s="3" t="s">
        <v>113</v>
      </c>
      <c r="B4">
        <v>304</v>
      </c>
    </row>
    <row r="5" spans="1:2" x14ac:dyDescent="0.25">
      <c r="A5" s="3" t="s">
        <v>23</v>
      </c>
      <c r="B5">
        <v>305</v>
      </c>
    </row>
    <row r="6" spans="1:2" x14ac:dyDescent="0.25">
      <c r="A6" s="3" t="s">
        <v>24</v>
      </c>
      <c r="B6">
        <v>306</v>
      </c>
    </row>
    <row r="7" spans="1:2" x14ac:dyDescent="0.25">
      <c r="A7" s="3" t="s">
        <v>26</v>
      </c>
      <c r="B7">
        <v>307</v>
      </c>
    </row>
    <row r="8" spans="1:2" x14ac:dyDescent="0.25">
      <c r="A8" s="3" t="s">
        <v>31</v>
      </c>
      <c r="B8">
        <v>308</v>
      </c>
    </row>
    <row r="9" spans="1:2" x14ac:dyDescent="0.25">
      <c r="A9" s="3" t="s">
        <v>35</v>
      </c>
      <c r="B9">
        <v>309</v>
      </c>
    </row>
    <row r="10" spans="1:2" x14ac:dyDescent="0.25">
      <c r="A10" s="3" t="s">
        <v>40</v>
      </c>
      <c r="B10">
        <v>310</v>
      </c>
    </row>
    <row r="11" spans="1:2" x14ac:dyDescent="0.25">
      <c r="A11" s="3" t="s">
        <v>839</v>
      </c>
      <c r="B11">
        <v>311</v>
      </c>
    </row>
    <row r="12" spans="1:2" x14ac:dyDescent="0.25">
      <c r="A12" s="3" t="s">
        <v>837</v>
      </c>
      <c r="B12">
        <v>312</v>
      </c>
    </row>
    <row r="13" spans="1:2" x14ac:dyDescent="0.25">
      <c r="A13" s="4" t="s">
        <v>47</v>
      </c>
      <c r="B13">
        <v>313</v>
      </c>
    </row>
    <row r="14" spans="1:2" x14ac:dyDescent="0.25">
      <c r="A14" s="3" t="s">
        <v>48</v>
      </c>
      <c r="B14">
        <v>314</v>
      </c>
    </row>
    <row r="15" spans="1:2" x14ac:dyDescent="0.25">
      <c r="A15" s="3" t="s">
        <v>51</v>
      </c>
      <c r="B15">
        <v>316</v>
      </c>
    </row>
    <row r="16" spans="1:2" x14ac:dyDescent="0.25">
      <c r="A16" s="3" t="s">
        <v>838</v>
      </c>
      <c r="B16">
        <v>317</v>
      </c>
    </row>
    <row r="17" spans="1:2" x14ac:dyDescent="0.25">
      <c r="A17" s="3" t="s">
        <v>59</v>
      </c>
      <c r="B17">
        <v>318</v>
      </c>
    </row>
    <row r="18" spans="1:2" x14ac:dyDescent="0.25">
      <c r="A18" s="3" t="s">
        <v>61</v>
      </c>
      <c r="B18">
        <v>319</v>
      </c>
    </row>
    <row r="19" spans="1:2" x14ac:dyDescent="0.25">
      <c r="A19" s="3" t="s">
        <v>66</v>
      </c>
      <c r="B19">
        <v>320</v>
      </c>
    </row>
    <row r="20" spans="1:2" x14ac:dyDescent="0.25">
      <c r="A20" s="3" t="s">
        <v>68</v>
      </c>
      <c r="B20">
        <v>321</v>
      </c>
    </row>
    <row r="21" spans="1:2" x14ac:dyDescent="0.25">
      <c r="A21" s="3" t="s">
        <v>71</v>
      </c>
      <c r="B21">
        <v>322</v>
      </c>
    </row>
    <row r="22" spans="1:2" x14ac:dyDescent="0.25">
      <c r="A22" s="3" t="s">
        <v>84</v>
      </c>
      <c r="B22">
        <v>323</v>
      </c>
    </row>
    <row r="23" spans="1:2" x14ac:dyDescent="0.25">
      <c r="A23" s="3" t="s">
        <v>88</v>
      </c>
      <c r="B23">
        <v>324</v>
      </c>
    </row>
    <row r="24" spans="1:2" x14ac:dyDescent="0.25">
      <c r="A24" s="3" t="s">
        <v>90</v>
      </c>
      <c r="B24">
        <v>325</v>
      </c>
    </row>
    <row r="25" spans="1:2" x14ac:dyDescent="0.25">
      <c r="A25" s="3" t="s">
        <v>91</v>
      </c>
      <c r="B25">
        <v>326</v>
      </c>
    </row>
    <row r="26" spans="1:2" x14ac:dyDescent="0.25">
      <c r="A26" s="3" t="s">
        <v>16</v>
      </c>
      <c r="B26">
        <v>327</v>
      </c>
    </row>
    <row r="27" spans="1:2" x14ac:dyDescent="0.25">
      <c r="A27" s="3" t="s">
        <v>99</v>
      </c>
      <c r="B27">
        <v>328</v>
      </c>
    </row>
    <row r="28" spans="1:2" x14ac:dyDescent="0.25">
      <c r="A28" s="3" t="s">
        <v>110</v>
      </c>
      <c r="B28">
        <v>329</v>
      </c>
    </row>
    <row r="29" spans="1:2" x14ac:dyDescent="0.25">
      <c r="A29" s="3" t="s">
        <v>145</v>
      </c>
      <c r="B29">
        <v>330</v>
      </c>
    </row>
    <row r="30" spans="1:2" x14ac:dyDescent="0.25">
      <c r="A30" s="3" t="s">
        <v>148</v>
      </c>
      <c r="B30">
        <v>331</v>
      </c>
    </row>
    <row r="31" spans="1:2" x14ac:dyDescent="0.25">
      <c r="A31" s="3" t="s">
        <v>152</v>
      </c>
      <c r="B31">
        <v>332</v>
      </c>
    </row>
    <row r="32" spans="1:2" x14ac:dyDescent="0.25">
      <c r="A32" s="3" t="s">
        <v>635</v>
      </c>
      <c r="B32">
        <v>333</v>
      </c>
    </row>
  </sheetData>
  <conditionalFormatting sqref="A19">
    <cfRule type="duplicateValues" dxfId="1" priority="1"/>
    <cfRule type="duplicateValues" dxfId="0" priority="2"/>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6B18B-824B-4961-944D-6779BD03AFB2}">
  <dimension ref="A1:B6"/>
  <sheetViews>
    <sheetView workbookViewId="0">
      <selection activeCell="B5" sqref="B5"/>
    </sheetView>
  </sheetViews>
  <sheetFormatPr defaultRowHeight="15" x14ac:dyDescent="0.25"/>
  <cols>
    <col min="1" max="1" width="13.5703125" bestFit="1" customWidth="1"/>
    <col min="2" max="2" width="20.7109375" customWidth="1"/>
  </cols>
  <sheetData>
    <row r="1" spans="1:2" x14ac:dyDescent="0.25">
      <c r="A1" s="16" t="s">
        <v>489</v>
      </c>
      <c r="B1" s="16" t="s">
        <v>492</v>
      </c>
    </row>
    <row r="2" spans="1:2" x14ac:dyDescent="0.25">
      <c r="A2" s="10" t="s">
        <v>490</v>
      </c>
      <c r="B2" s="10" t="s">
        <v>491</v>
      </c>
    </row>
    <row r="3" spans="1:2" x14ac:dyDescent="0.25">
      <c r="A3" s="10" t="s">
        <v>493</v>
      </c>
      <c r="B3" s="10" t="s">
        <v>496</v>
      </c>
    </row>
    <row r="4" spans="1:2" x14ac:dyDescent="0.25">
      <c r="A4" s="10" t="s">
        <v>494</v>
      </c>
      <c r="B4" s="10" t="s">
        <v>495</v>
      </c>
    </row>
    <row r="5" spans="1:2" x14ac:dyDescent="0.25">
      <c r="A5" s="10" t="s">
        <v>497</v>
      </c>
      <c r="B5" s="10" t="s">
        <v>498</v>
      </c>
    </row>
    <row r="6" spans="1:2" x14ac:dyDescent="0.25">
      <c r="A6" s="10" t="s">
        <v>499</v>
      </c>
      <c r="B6" s="10" t="s">
        <v>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metrics</vt:lpstr>
      <vt:lpstr>urls</vt:lpstr>
      <vt:lpstr>cardsort_group_IDs</vt:lpstr>
      <vt:lpstr>cardsort_subgroup_IDs</vt:lpstr>
      <vt:lpstr>company_sizes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Meyer</dc:creator>
  <cp:lastModifiedBy>André Meyer</cp:lastModifiedBy>
  <dcterms:created xsi:type="dcterms:W3CDTF">2015-06-05T18:19:34Z</dcterms:created>
  <dcterms:modified xsi:type="dcterms:W3CDTF">2026-09-18T07:52:17Z</dcterms:modified>
</cp:coreProperties>
</file>