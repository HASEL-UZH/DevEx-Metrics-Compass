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0D52A125-E648-418F-9F8B-0A965D8B0D76}" xr6:coauthVersionLast="47" xr6:coauthVersionMax="47" xr10:uidLastSave="{00000000-0000-0000-0000-000000000000}"/>
  <bookViews>
    <workbookView xWindow="-105" yWindow="0" windowWidth="29010" windowHeight="2338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metrics!$A$1:$M$126</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8" i="1" l="1"/>
  <c r="O128" i="1"/>
  <c r="K128" i="1"/>
  <c r="L128" i="1"/>
  <c r="I128" i="1"/>
  <c r="M128" i="1"/>
  <c r="L127" i="1"/>
  <c r="M127" i="1"/>
  <c r="N127" i="1"/>
  <c r="K127" i="1"/>
  <c r="I127" i="1"/>
  <c r="K126" i="1"/>
  <c r="I126" i="1"/>
  <c r="I125" i="1"/>
  <c r="L126" i="1"/>
  <c r="N126" i="1"/>
  <c r="M126" i="1"/>
  <c r="K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7" i="1" l="1"/>
  <c r="O126" i="1"/>
  <c r="O125" i="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tc={121DA4BD-014E-470E-AB44-B9514592A80F}</author>
    <author>tc={FDDDF671-A2B6-4958-A032-5551C66219BE}</author>
  </authors>
  <commentList>
    <comment ref="H32" authorId="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List>
</comments>
</file>

<file path=xl/sharedStrings.xml><?xml version="1.0" encoding="utf-8"?>
<sst xmlns="http://schemas.openxmlformats.org/spreadsheetml/2006/main" count="2065" uniqueCount="782">
  <si>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</si>
  <si>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</si>
  <si>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</si>
  <si>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</si>
  <si>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</si>
  <si>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</si>
  <si>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</si>
  <si>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</si>
  <si>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</si>
  <si>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</si>
  <si>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</si>
  <si>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</si>
  <si>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</si>
  <si>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</si>
  <si>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</si>
  <si>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</si>
  <si>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</si>
  <si>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</si>
  <si>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</si>
  <si>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</si>
  <si>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</si>
  <si>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</si>
  <si>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</si>
  <si>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</si>
  <si>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</si>
  <si>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</si>
  <si>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</si>
  <si>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</si>
  <si>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</si>
  <si>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</si>
  <si>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</si>
  <si>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</si>
  <si>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</si>
  <si>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</si>
  <si>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</si>
  <si>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</si>
  <si>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</si>
  <si>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</si>
  <si>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</si>
  <si>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</si>
  <si>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</si>
  <si>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</si>
  <si>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</si>
  <si>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</si>
  <si>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</si>
  <si>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</si>
  <si>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</si>
  <si>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</si>
  <si>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</si>
  <si>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</si>
  <si>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</si>
  <si>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</si>
  <si>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</si>
  <si>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</si>
  <si>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</si>
  <si>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</si>
  <si>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</si>
  <si>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</si>
  <si>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</si>
  <si>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</si>
  <si>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</si>
  <si>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</si>
  <si>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</si>
  <si>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</si>
  <si>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</si>
  <si>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</si>
  <si>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</si>
  <si>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</si>
  <si>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</si>
  <si>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</si>
  <si>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</si>
  <si>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</si>
  <si>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</si>
  <si>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</si>
  <si>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</si>
  <si>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</si>
  <si>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</si>
  <si>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</si>
  <si>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</si>
  <si>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</si>
  <si>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</si>
  <si>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</si>
  <si>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</si>
  <si>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</si>
  <si>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</si>
  <si>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</si>
  <si>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</si>
  <si>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</si>
  <si>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</si>
  <si>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</si>
  <si>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</si>
  <si>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</si>
  <si>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</si>
  <si>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</si>
  <si>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</si>
  <si>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</si>
  <si>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</si>
  <si>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</si>
  <si>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</si>
  <si>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</si>
  <si>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</si>
  <si>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</si>
  <si>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</si>
  <si>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</si>
  <si>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</si>
  <si>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</si>
  <si>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</si>
  <si>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</si>
  <si>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</si>
  <si>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</si>
  <si>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</si>
  <si>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</si>
  <si>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</si>
  <si>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</si>
  <si>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</si>
  <si>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</si>
  <si>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</si>
  <si>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Feedback Loops</t>
  </si>
  <si>
    <t>The speed and quality of responses to developer actions.</t>
  </si>
  <si>
    <t>Collaboration</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</si>
  <si>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</si>
  <si>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</si>
  <si>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</si>
  <si>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</si>
  <si>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</si>
  <si>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</si>
  <si>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</si>
  <si>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</si>
  <si>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</si>
  <si>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</si>
  <si>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</si>
  <si>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</si>
  <si>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</si>
  <si>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</si>
  <si>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</si>
  <si>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</si>
  <si>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</si>
  <si>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</si>
  <si>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</si>
  <si>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</si>
  <si>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</si>
  <si>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</si>
  <si>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</si>
  <si>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</si>
  <si>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</si>
  <si>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</si>
  <si>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</si>
  <si>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</si>
  <si>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</si>
  <si>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</si>
  <si>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</si>
  <si>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</si>
  <si>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</si>
  <si>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</si>
  <si>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</si>
  <si>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</si>
  <si>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</si>
  <si>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</si>
  <si>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</si>
  <si>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</si>
  <si>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</si>
  <si>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</si>
  <si>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</si>
  <si>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</si>
  <si>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</si>
  <si>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</si>
  <si>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</si>
  <si>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</si>
  <si>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</si>
  <si>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</si>
  <si>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</si>
  <si>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</si>
  <si>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</si>
  <si>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</si>
  <si>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</si>
  <si>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</si>
  <si>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</si>
  <si>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</si>
  <si>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</si>
  <si>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</si>
  <si>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</si>
  <si>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</si>
  <si>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</si>
  <si>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</si>
  <si>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</si>
  <si>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</si>
  <si>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</si>
  <si>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</si>
  <si>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</si>
  <si>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</si>
  <si>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</si>
  <si>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</si>
  <si>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</si>
  <si>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</si>
  <si>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</si>
  <si>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</si>
  <si>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</si>
  <si>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</si>
  <si>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</si>
  <si>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</si>
  <si>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</si>
  <si>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</si>
  <si>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</si>
  <si>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</si>
  <si>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</si>
  <si>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</si>
  <si>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</si>
  <si>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</si>
  <si>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</si>
  <si>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</si>
  <si>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</si>
  <si>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</si>
  <si>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</si>
  <si>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</si>
  <si>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</si>
  <si>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</si>
  <si>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</si>
  <si>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</si>
  <si>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</si>
  <si>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</si>
  <si>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</si>
  <si>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</si>
  <si>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</si>
  <si>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</si>
  <si>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</si>
  <si>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</si>
  <si>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</si>
  <si>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</si>
  <si>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</si>
  <si>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</si>
  <si>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</si>
  <si>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</si>
  <si>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</si>
  <si>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</si>
  <si>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</si>
  <si>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</si>
  <si>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</si>
  <si>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 xml:space="preserve">Is a metric that measures the time it takes for a new engineer to create their 1st and 10th pull request (PR) after joining a development team or platform (e.g., GitHub). </t>
  </si>
  <si>
    <t>Spotify</t>
  </si>
  <si>
    <t>Uber</t>
  </si>
  <si>
    <t>Weekly Number of Design DOCs Generated per Developer</t>
  </si>
  <si>
    <t>The weekly number of design documents generated per engineer.</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</si>
  <si>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</si>
  <si>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</si>
  <si>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</si>
  <si>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</si>
  <si>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</si>
  <si>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</si>
  <si>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</si>
  <si>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</si>
  <si>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</si>
  <si>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</si>
  <si>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</si>
  <si>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</si>
  <si>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</si>
  <si>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</si>
  <si>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</si>
  <si>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</si>
  <si>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</si>
  <si>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</si>
  <si>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</si>
  <si>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</si>
  <si>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</si>
  <si>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</si>
  <si>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</si>
  <si>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</si>
  <si>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</si>
  <si>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</si>
  <si>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</si>
  <si>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</si>
  <si>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</si>
  <si>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</si>
  <si>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</si>
  <si>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</si>
  <si>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</si>
  <si>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</si>
  <si>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</si>
  <si>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</si>
  <si>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</si>
  <si>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</si>
  <si>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</si>
  <si>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</si>
  <si>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</si>
  <si>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</si>
  <si>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</si>
  <si>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</si>
  <si>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</si>
  <si>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</si>
  <si>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</si>
  <si>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</si>
  <si>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</si>
  <si>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</si>
  <si>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</si>
  <si>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</si>
  <si>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</si>
  <si>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</si>
  <si>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</si>
  <si>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</si>
  <si>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</si>
  <si>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</si>
  <si>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</si>
  <si>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</si>
  <si>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</si>
  <si>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</si>
  <si>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</si>
  <si>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</si>
  <si>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</si>
  <si>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</si>
  <si>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</si>
  <si>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</si>
  <si>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</si>
  <si>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</si>
  <si>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</si>
  <si>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</si>
  <si>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</si>
  <si>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</si>
  <si>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</si>
  <si>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</si>
  <si>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</si>
  <si>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</si>
  <si>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</si>
  <si>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</si>
  <si>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</si>
  <si>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</si>
  <si>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</si>
  <si>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</si>
  <si>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</si>
  <si>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</si>
  <si>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</si>
  <si>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</si>
  <si>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</si>
  <si>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</si>
  <si>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</si>
  <si>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</si>
  <si>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</si>
  <si>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</si>
  <si>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</si>
  <si>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</si>
  <si>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</si>
  <si>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</si>
  <si>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</si>
  <si>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</si>
  <si>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</si>
  <si>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</si>
  <si>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</si>
  <si>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</si>
  <si>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</si>
  <si>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</si>
  <si>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</si>
  <si>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</si>
  <si>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</si>
  <si>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</si>
  <si>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</si>
  <si>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</si>
  <si>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</si>
  <si>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</si>
  <si>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</si>
  <si>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</si>
  <si>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</si>
  <si>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</si>
  <si>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</si>
  <si>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</si>
  <si>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</si>
  <si>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</si>
  <si>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</si>
  <si>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</si>
  <si>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</si>
  <si>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</si>
  <si>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</si>
  <si>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</si>
  <si>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</si>
  <si>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</si>
  <si>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</si>
  <si>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</si>
  <si>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</si>
  <si>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</si>
  <si>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</si>
  <si>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</si>
  <si>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</si>
  <si>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</si>
  <si>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</si>
  <si>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</si>
  <si>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</si>
  <si>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</si>
  <si>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</si>
  <si>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</si>
  <si>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</si>
  <si>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</si>
  <si>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</si>
  <si>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</si>
  <si>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</si>
  <si>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</si>
  <si>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</si>
  <si>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</si>
  <si>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</si>
  <si>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</si>
  <si>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</si>
  <si>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</si>
  <si>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</si>
  <si>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</si>
  <si>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</si>
  <si>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</si>
  <si>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</si>
  <si>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</si>
  <si>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</si>
  <si>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</si>
  <si>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</si>
  <si>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</si>
  <si>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</si>
  <si>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</si>
  <si>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</si>
  <si>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</si>
  <si>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</si>
  <si>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</si>
  <si>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</si>
  <si>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</si>
  <si>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</si>
  <si>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</si>
  <si>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</si>
  <si>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</si>
  <si>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</si>
  <si>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</si>
  <si>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</si>
  <si>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</si>
  <si>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</si>
  <si>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</si>
  <si>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</si>
  <si>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</si>
  <si>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</si>
  <si>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</si>
  <si>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</si>
  <si>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</si>
  <si>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</si>
  <si>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</si>
  <si>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</si>
  <si>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</si>
  <si>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</si>
  <si>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</si>
  <si>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</si>
  <si>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</si>
  <si>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</si>
  <si>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</si>
  <si>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</si>
  <si>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</si>
  <si>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</si>
  <si>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</si>
  <si>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</si>
  <si>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</si>
  <si>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</si>
  <si>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</si>
  <si>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</si>
  <si>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</si>
  <si>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</si>
  <si>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</si>
  <si>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</si>
  <si>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</si>
  <si>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</si>
  <si>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</si>
  <si>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</si>
  <si>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</si>
  <si>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</si>
  <si>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</si>
  <si>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</si>
  <si>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</si>
  <si>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</si>
  <si>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</si>
  <si>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</si>
  <si>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</si>
  <si>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</si>
  <si>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</si>
  <si>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</si>
  <si>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</si>
  <si>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</si>
  <si>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</si>
  <si>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</si>
  <si>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</si>
  <si>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</si>
  <si>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</si>
  <si>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</si>
  <si>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</si>
  <si>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</si>
  <si>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</si>
  <si>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</si>
  <si>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</si>
  <si>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</si>
  <si>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</si>
  <si>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</si>
  <si>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</si>
  <si>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</si>
  <si>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</si>
  <si>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</si>
  <si>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</si>
  <si>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</si>
  <si>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</si>
  <si>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</si>
  <si>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</si>
  <si>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</si>
  <si>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</si>
  <si>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</si>
  <si>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</si>
  <si>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</si>
  <si>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</si>
  <si>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</si>
  <si>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</si>
  <si>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</si>
  <si>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</si>
  <si>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</si>
  <si>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</si>
  <si>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</si>
  <si>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</si>
  <si>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</si>
  <si>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</si>
  <si>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</si>
  <si>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</si>
  <si>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</si>
  <si>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</si>
  <si>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</si>
  <si>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</si>
  <si>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</si>
  <si>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</si>
  <si>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</si>
  <si>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</si>
  <si>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</si>
  <si>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</si>
  <si>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</si>
  <si>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</si>
  <si>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</si>
  <si>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</si>
  <si>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</si>
  <si>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</si>
  <si>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</si>
  <si>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</si>
  <si>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</si>
  <si>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</si>
  <si>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</si>
  <si>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</si>
  <si>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</si>
  <si>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</si>
  <si>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</si>
  <si>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</si>
  <si>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</si>
  <si>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</si>
  <si>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</si>
  <si>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</si>
  <si>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</si>
  <si>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</si>
  <si>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</si>
  <si>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</si>
  <si>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</si>
  <si>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</si>
  <si>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</si>
  <si>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</si>
  <si>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</si>
  <si>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</si>
  <si>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</si>
  <si>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</si>
  <si>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</si>
  <si>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</si>
  <si>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</si>
  <si>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</si>
  <si>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</si>
  <si>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</si>
  <si>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</si>
  <si>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</si>
  <si>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</si>
  <si>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</si>
  <si>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</si>
  <si>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</si>
  <si>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</si>
  <si>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</si>
  <si>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</si>
  <si>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</si>
  <si>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</si>
  <si>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</si>
  <si>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</si>
  <si>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</si>
  <si>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</si>
  <si>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</si>
  <si>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</si>
  <si>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</si>
  <si>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</si>
  <si>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</si>
  <si>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</si>
  <si>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</si>
  <si>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</si>
  <si>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</si>
  <si>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</si>
  <si>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</si>
  <si>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</si>
  <si>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</si>
  <si>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</si>
  <si>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</si>
  <si>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</si>
  <si>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</si>
  <si>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</si>
  <si>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</si>
  <si>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</si>
  <si>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</si>
  <si>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</si>
  <si>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</si>
  <si>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</si>
  <si>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</si>
  <si>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</si>
  <si>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</si>
  <si>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</si>
  <si>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</si>
  <si>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</si>
  <si>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</si>
  <si>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</si>
  <si>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</si>
  <si>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</si>
  <si>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</si>
  <si>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</si>
  <si>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</si>
  <si>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</si>
  <si>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</si>
  <si>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</si>
  <si>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</si>
  <si>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</si>
  <si>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</si>
  <si>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</si>
  <si>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</si>
  <si>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</si>
  <si>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</si>
  <si>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</si>
  <si>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</si>
  <si>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</si>
  <si>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</si>
  <si>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</si>
  <si>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</si>
  <si>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</si>
  <si>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</si>
  <si>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</si>
  <si>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</si>
  <si>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</si>
  <si>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</si>
  <si>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</si>
  <si>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</si>
  <si>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</si>
  <si>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</si>
  <si>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</si>
  <si>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</si>
  <si>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</si>
  <si>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</si>
  <si>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</si>
  <si>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</si>
  <si>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</si>
  <si>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</si>
  <si>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</si>
  <si>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</si>
  <si>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</si>
  <si>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</si>
  <si>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</si>
  <si>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</si>
  <si>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</si>
  <si>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</si>
  <si>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</si>
  <si>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</si>
  <si>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</si>
  <si>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</si>
  <si>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</si>
  <si>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</si>
  <si>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</si>
  <si>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</si>
  <si>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</si>
  <si>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</si>
  <si>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</si>
  <si>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</si>
  <si>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</si>
  <si>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</si>
  <si>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</si>
  <si>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</si>
  <si>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</si>
  <si>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</si>
  <si>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</si>
  <si>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</si>
  <si>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</si>
  <si>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</si>
  <si>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</si>
  <si>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</si>
  <si>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</si>
  <si>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</si>
  <si>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</si>
  <si>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</si>
  <si>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</si>
  <si>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</si>
  <si>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</si>
  <si>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</si>
  <si>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</si>
  <si>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</si>
  <si>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</si>
  <si>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</si>
  <si>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</si>
  <si>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</si>
  <si>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</si>
  <si>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</si>
  <si>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</si>
  <si>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</si>
  <si>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</si>
  <si>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</si>
  <si>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</si>
  <si>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</si>
  <si>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</si>
  <si>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</si>
  <si>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</si>
  <si>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</si>
  <si>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</si>
  <si>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</si>
  <si>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</si>
  <si>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</si>
  <si>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</si>
  <si>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</si>
  <si>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</si>
  <si>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</si>
  <si>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</si>
  <si>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</si>
  <si>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</si>
  <si>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</si>
  <si>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</si>
  <si>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</si>
  <si>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</si>
  <si>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</si>
  <si>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</si>
  <si>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</si>
  <si>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</si>
  <si>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</si>
  <si>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</si>
  <si>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</si>
  <si>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</si>
  <si>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</si>
  <si>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</si>
  <si>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</si>
  <si>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</si>
  <si>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</si>
  <si>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</si>
  <si>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</si>
  <si>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</si>
  <si>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</si>
  <si>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</si>
  <si>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</si>
  <si>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</si>
  <si>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</si>
  <si>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</si>
  <si>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</si>
  <si>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</si>
  <si>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202a; 131i; 131g; 516c</t>
  </si>
  <si>
    <t>501m; 131i; 501d; 209; 510; 511b; 511r; 511m; 511h; 511q; 511p; 517a; 516c</t>
  </si>
  <si>
    <t>131f; 131g; 516c</t>
  </si>
  <si>
    <t>Technical Debt; time spent remediating tech debt</t>
  </si>
  <si>
    <t>501j; 516c</t>
  </si>
  <si>
    <t>170; 146b; 131l; 517a; 516c</t>
  </si>
  <si>
    <t>501h; 516c</t>
  </si>
  <si>
    <t>501n; 516c</t>
  </si>
  <si>
    <t>32a; 516c</t>
  </si>
  <si>
    <t>501m; 131l; 516c</t>
  </si>
  <si>
    <t>Lloyds Banking Group</t>
  </si>
  <si>
    <t>511b; 511l; 516c</t>
  </si>
  <si>
    <t>ease to access tools, ease to access applications</t>
  </si>
  <si>
    <t>504; 11; 96; 214; 513; 517b</t>
  </si>
  <si>
    <t>CapitalOne</t>
  </si>
  <si>
    <t>Velocity</t>
  </si>
  <si>
    <t>Sprint Velocity; Developer Velocity</t>
  </si>
  <si>
    <t>Service Uptime and Deployment Speed</t>
  </si>
  <si>
    <t>Number of Code Reviews per Developer</t>
  </si>
  <si>
    <t>Number of Deployments per Developer</t>
  </si>
  <si>
    <t>Quantifies the amount of weekly deployments per developer.</t>
  </si>
  <si>
    <t>Quantifies the number of weekly code reviews per developer.</t>
  </si>
  <si>
    <t>Number of Comments; PR Review Comments and Requests for Changes; PRs merged per active developer per week</t>
  </si>
  <si>
    <t>Time Loss</t>
  </si>
  <si>
    <t>Quantifies the amount of developer time lost each week due to various inefficiencies, such as outdated tools, unclear requirements, excessive meetings, frequent context switching, or technical debt. Highlights the impact of these obstacles on productive coding and overall job satisfaction.</t>
  </si>
  <si>
    <t>Change Fail Rate; Change Fail Percentage</t>
  </si>
  <si>
    <t>This metric measures the percentage of deployments that cause failures in production, requiring hotfixes or rollbacks. A lower change failure rate indicates a more reliable delivery process.</t>
  </si>
  <si>
    <t>Change Lead Time</t>
  </si>
  <si>
    <t>Lead time; Lead Time for Changes</t>
  </si>
  <si>
    <t>This metric measures the time it takes for a code commit or change to be successfully deployed to production. It reflects the efficiency of your software delivery process to deliver value to customers.</t>
  </si>
  <si>
    <t>This metric measures how often application changes are deployed to production. Higher deployment frequency indicates a more agile and responsive delivery process.</t>
  </si>
  <si>
    <t>This metric measures the time it takes to recover from a failed deployment (e.g. outage or service failure in production). A lower recovery time indicates a more resilient and responsive system.</t>
  </si>
  <si>
    <t>Deployment rework rate</t>
  </si>
  <si>
    <t>The ratio of deployments that are unplanned but happen as a result of an incitent in production.</t>
  </si>
  <si>
    <t>Time to Nth Pull Request</t>
  </si>
  <si>
    <t>Time to First Commit; Time to technical ability to commit; Time to Xth Pull Request; Time to Xth PR</t>
  </si>
  <si>
    <t xml:space="preserve">Rework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</si>
</sst>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0" fillId="2" borderId="0" xfId="0" applyFill="1"/>
    <xf numFmtId="0" fontId="0" fillId="0" borderId="0" xfId="0" applyFill="1" applyAlignment="1">
      <alignment vertical="top"/>
    </xf>
    <xf numFmtId="0" fontId="2" fillId="0" borderId="0" xfId="0" applyFont="1" applyFill="1" applyAlignment="1">
      <alignment vertical="top"/>
    </xf>
  </cellXfs>
  <cellStyles count="2">
    <cellStyle name="Hyperlink" xfId="1" builtinId="8"/>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8"/>
  <sheetViews>
    <sheetView tabSelected="1" zoomScaleNormal="100" workbookViewId="0">
      <pane xSplit="2" ySplit="1" topLeftCell="H107" activePane="bottomRight" state="frozen"/>
      <selection pane="topRight" activeCell="C1" sqref="C1"/>
      <selection pane="bottomLeft" activeCell="A2" sqref="A2"/>
      <selection pane="bottomRight" activeCell="Q128" sqref="Q128"/>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242</v>
      </c>
      <c r="E1" s="11" t="s">
        <v>243</v>
      </c>
      <c r="F1" s="2" t="s">
        <v>3</v>
      </c>
      <c r="G1" s="1" t="s">
        <v>684</v>
      </c>
      <c r="H1" s="1" t="s">
        <v>4</v>
      </c>
      <c r="I1" s="2" t="s">
        <v>5</v>
      </c>
      <c r="J1" s="1" t="s">
        <v>6</v>
      </c>
      <c r="K1" s="1" t="s">
        <v>7</v>
      </c>
      <c r="L1" s="1" t="s">
        <v>8</v>
      </c>
      <c r="M1" s="1" t="s">
        <v>486</v>
      </c>
      <c r="N1" s="1" t="s">
        <v>487</v>
      </c>
      <c r="O1" s="1" t="s">
        <v>489</v>
      </c>
      <c r="P1" s="15" t="s">
        <v>579</v>
      </c>
      <c r="Q1" s="15" t="s">
        <v>675</v>
      </c>
      <c r="R1" s="1" t="s">
        <v>680</v>
      </c>
      <c r="S1" s="15" t="s">
        <v>570</v>
      </c>
    </row>
    <row r="2" spans="1:19" ht="120" x14ac:dyDescent="0.25">
      <c r="A2" s="3">
        <v>2</v>
      </c>
      <c r="B2" s="18" t="s">
        <v>12</v>
      </c>
      <c r="C2" s="4" t="s">
        <v>13</v>
      </c>
      <c r="D2" s="12" t="s">
        <v>578</v>
      </c>
      <c r="E2" s="13" t="s">
        <v>673</v>
      </c>
      <c r="F2" s="4" t="s">
        <v>14</v>
      </c>
      <c r="G2" s="3" t="s">
        <v>687</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2" t="s">
        <v>577</v>
      </c>
      <c r="Q2" s="12" t="s">
        <v>676</v>
      </c>
      <c r="R2" t="s">
        <v>681</v>
      </c>
      <c r="S2" s="12" t="s">
        <v>674</v>
      </c>
    </row>
    <row r="3" spans="1:19" ht="30" x14ac:dyDescent="0.25">
      <c r="A3" s="3">
        <v>4</v>
      </c>
      <c r="B3" s="18" t="s">
        <v>18</v>
      </c>
      <c r="C3" s="4" t="s">
        <v>9</v>
      </c>
      <c r="D3" s="13">
        <v>201</v>
      </c>
      <c r="E3" s="13" t="s">
        <v>9</v>
      </c>
      <c r="F3" s="4" t="s">
        <v>20</v>
      </c>
      <c r="G3" s="3" t="s">
        <v>687</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2" t="s">
        <v>577</v>
      </c>
      <c r="Q3" s="12" t="s">
        <v>676</v>
      </c>
      <c r="R3" t="s">
        <v>682</v>
      </c>
      <c r="S3" s="12" t="s">
        <v>9</v>
      </c>
    </row>
    <row r="4" spans="1:19" ht="30" x14ac:dyDescent="0.25">
      <c r="A4" s="3">
        <v>9</v>
      </c>
      <c r="B4" s="18" t="s">
        <v>24</v>
      </c>
      <c r="C4" s="4" t="s">
        <v>9</v>
      </c>
      <c r="D4" s="12" t="s">
        <v>749</v>
      </c>
      <c r="E4" s="13" t="s">
        <v>508</v>
      </c>
      <c r="F4" s="5" t="s">
        <v>25</v>
      </c>
      <c r="G4" s="3" t="s">
        <v>687</v>
      </c>
      <c r="H4" s="3" t="s">
        <v>15</v>
      </c>
      <c r="I4" s="3">
        <f>VLOOKUP(H4,cardsort_group_IDs!A:B,2,0)</f>
        <v>204</v>
      </c>
      <c r="J4" s="3" t="s">
        <v>26</v>
      </c>
      <c r="K4" s="3">
        <f>VLOOKUP(J4,cardsort_subgroup_IDs!A:B,2,0)</f>
        <v>306</v>
      </c>
      <c r="L4" s="3">
        <f t="shared" ref="L4:L60" si="3">IF(E4="-",0,1)+IF(D4="-",0,2)</f>
        <v>3</v>
      </c>
      <c r="M4" s="3">
        <f t="shared" si="0"/>
        <v>2</v>
      </c>
      <c r="N4" s="3">
        <f t="shared" si="1"/>
        <v>2</v>
      </c>
      <c r="O4" s="3">
        <f t="shared" si="2"/>
        <v>4</v>
      </c>
      <c r="P4" s="12" t="s">
        <v>577</v>
      </c>
      <c r="Q4" s="12" t="s">
        <v>677</v>
      </c>
      <c r="R4" t="s">
        <v>682</v>
      </c>
      <c r="S4" s="12" t="s">
        <v>9</v>
      </c>
    </row>
    <row r="5" spans="1:19" ht="75" x14ac:dyDescent="0.25">
      <c r="A5" s="3">
        <v>10</v>
      </c>
      <c r="B5" s="18" t="s">
        <v>27</v>
      </c>
      <c r="C5" s="4" t="s">
        <v>245</v>
      </c>
      <c r="D5" s="12" t="s">
        <v>410</v>
      </c>
      <c r="E5" s="13" t="s">
        <v>509</v>
      </c>
      <c r="F5" s="4" t="s">
        <v>28</v>
      </c>
      <c r="G5" s="3" t="s">
        <v>686</v>
      </c>
      <c r="H5" s="3" t="s">
        <v>488</v>
      </c>
      <c r="I5" s="3">
        <f>VLOOKUP(H5,cardsort_group_IDs!A:B,2,0)</f>
        <v>203</v>
      </c>
      <c r="J5" s="3" t="s">
        <v>29</v>
      </c>
      <c r="K5" s="3">
        <f>VLOOKUP(J5,cardsort_subgroup_IDs!A:B,2,0)</f>
        <v>307</v>
      </c>
      <c r="L5" s="3">
        <f t="shared" si="3"/>
        <v>3</v>
      </c>
      <c r="M5" s="3">
        <f t="shared" si="0"/>
        <v>1</v>
      </c>
      <c r="N5" s="3">
        <f t="shared" si="1"/>
        <v>3</v>
      </c>
      <c r="O5" s="3">
        <f t="shared" si="2"/>
        <v>4</v>
      </c>
      <c r="P5" s="12" t="s">
        <v>577</v>
      </c>
      <c r="Q5" s="12" t="s">
        <v>676</v>
      </c>
      <c r="R5" t="s">
        <v>681</v>
      </c>
      <c r="S5" s="12" t="s">
        <v>9</v>
      </c>
    </row>
    <row r="6" spans="1:19" ht="105" x14ac:dyDescent="0.25">
      <c r="A6" s="3">
        <v>11</v>
      </c>
      <c r="B6" s="18" t="s">
        <v>30</v>
      </c>
      <c r="C6" s="4" t="s">
        <v>9</v>
      </c>
      <c r="D6" s="12" t="s">
        <v>9</v>
      </c>
      <c r="E6" s="13">
        <v>183</v>
      </c>
      <c r="F6" s="4" t="s">
        <v>31</v>
      </c>
      <c r="G6" s="3" t="s">
        <v>687</v>
      </c>
      <c r="H6" s="3" t="s">
        <v>10</v>
      </c>
      <c r="I6" s="3">
        <f>VLOOKUP(H6,cardsort_group_IDs!A:B,2,0)</f>
        <v>201</v>
      </c>
      <c r="J6" s="3" t="s">
        <v>17</v>
      </c>
      <c r="K6" s="3">
        <f>VLOOKUP(J6,cardsort_subgroup_IDs!A:B,2,0)</f>
        <v>302</v>
      </c>
      <c r="L6" s="3">
        <f t="shared" si="3"/>
        <v>1</v>
      </c>
      <c r="M6" s="3">
        <f t="shared" si="0"/>
        <v>0</v>
      </c>
      <c r="N6" s="3">
        <f t="shared" si="1"/>
        <v>1</v>
      </c>
      <c r="O6" s="3">
        <f t="shared" si="2"/>
        <v>1</v>
      </c>
      <c r="P6" s="12" t="s">
        <v>577</v>
      </c>
      <c r="Q6" s="12" t="s">
        <v>677</v>
      </c>
      <c r="R6" t="s">
        <v>683</v>
      </c>
      <c r="S6" s="12" t="s">
        <v>9</v>
      </c>
    </row>
    <row r="7" spans="1:19" ht="90" x14ac:dyDescent="0.25">
      <c r="A7" s="3">
        <v>12</v>
      </c>
      <c r="B7" s="25" t="s">
        <v>32</v>
      </c>
      <c r="C7" s="4" t="s">
        <v>770</v>
      </c>
      <c r="D7" s="13" t="s">
        <v>605</v>
      </c>
      <c r="E7" s="13" t="s">
        <v>695</v>
      </c>
      <c r="F7" s="4" t="s">
        <v>771</v>
      </c>
      <c r="G7" s="3" t="s">
        <v>687</v>
      </c>
      <c r="H7" s="3" t="s">
        <v>33</v>
      </c>
      <c r="I7" s="3">
        <f>VLOOKUP(H7,cardsort_group_IDs!A:B,2,0)</f>
        <v>205</v>
      </c>
      <c r="J7" s="3" t="s">
        <v>34</v>
      </c>
      <c r="K7" s="3">
        <f>VLOOKUP(J7,cardsort_subgroup_IDs!A:B,2,0)</f>
        <v>308</v>
      </c>
      <c r="L7" s="3">
        <f t="shared" si="3"/>
        <v>3</v>
      </c>
      <c r="M7" s="3">
        <f t="shared" si="0"/>
        <v>14</v>
      </c>
      <c r="N7" s="3">
        <f t="shared" si="1"/>
        <v>12</v>
      </c>
      <c r="O7" s="3">
        <f t="shared" si="2"/>
        <v>26</v>
      </c>
      <c r="P7" s="12" t="s">
        <v>124</v>
      </c>
      <c r="Q7" s="12" t="s">
        <v>678</v>
      </c>
      <c r="R7" t="s">
        <v>682</v>
      </c>
      <c r="S7" s="12" t="s">
        <v>9</v>
      </c>
    </row>
    <row r="8" spans="1:19" ht="165" x14ac:dyDescent="0.25">
      <c r="A8" s="3">
        <v>13</v>
      </c>
      <c r="B8" s="18" t="s">
        <v>35</v>
      </c>
      <c r="C8" s="4" t="s">
        <v>9</v>
      </c>
      <c r="D8" s="12">
        <v>170</v>
      </c>
      <c r="E8" s="13" t="s">
        <v>9</v>
      </c>
      <c r="F8" s="4" t="s">
        <v>37</v>
      </c>
      <c r="G8" s="3" t="s">
        <v>687</v>
      </c>
      <c r="H8" s="3" t="s">
        <v>33</v>
      </c>
      <c r="I8" s="3">
        <f>VLOOKUP(H8,cardsort_group_IDs!A:B,2,0)</f>
        <v>205</v>
      </c>
      <c r="J8" s="3" t="s">
        <v>38</v>
      </c>
      <c r="K8" s="3">
        <f>VLOOKUP(J8,cardsort_subgroup_IDs!A:B,2,0)</f>
        <v>309</v>
      </c>
      <c r="L8" s="3">
        <f t="shared" si="3"/>
        <v>2</v>
      </c>
      <c r="M8" s="3">
        <f t="shared" si="0"/>
        <v>1</v>
      </c>
      <c r="N8" s="3">
        <f t="shared" si="1"/>
        <v>0</v>
      </c>
      <c r="O8" s="3">
        <f t="shared" si="2"/>
        <v>1</v>
      </c>
      <c r="P8" s="12" t="s">
        <v>577</v>
      </c>
      <c r="Q8" s="12" t="s">
        <v>678</v>
      </c>
      <c r="R8" t="s">
        <v>681</v>
      </c>
      <c r="S8" s="12" t="s">
        <v>9</v>
      </c>
    </row>
    <row r="9" spans="1:19" ht="75" x14ac:dyDescent="0.25">
      <c r="A9" s="3">
        <v>14</v>
      </c>
      <c r="B9" s="18" t="s">
        <v>39</v>
      </c>
      <c r="C9" s="4" t="s">
        <v>9</v>
      </c>
      <c r="D9" s="12" t="s">
        <v>402</v>
      </c>
      <c r="E9" s="13">
        <v>501</v>
      </c>
      <c r="F9" s="4" t="s">
        <v>40</v>
      </c>
      <c r="G9" s="3" t="s">
        <v>687</v>
      </c>
      <c r="H9" s="3" t="s">
        <v>33</v>
      </c>
      <c r="I9" s="3">
        <f>VLOOKUP(H9,cardsort_group_IDs!A:B,2,0)</f>
        <v>205</v>
      </c>
      <c r="J9" s="3" t="s">
        <v>34</v>
      </c>
      <c r="K9" s="3">
        <f>VLOOKUP(J9,cardsort_subgroup_IDs!A:B,2,0)</f>
        <v>308</v>
      </c>
      <c r="L9" s="3">
        <f t="shared" si="3"/>
        <v>3</v>
      </c>
      <c r="M9" s="3">
        <f t="shared" si="0"/>
        <v>1</v>
      </c>
      <c r="N9" s="3">
        <f t="shared" si="1"/>
        <v>1</v>
      </c>
      <c r="O9" s="3">
        <f t="shared" si="2"/>
        <v>2</v>
      </c>
      <c r="P9" s="12" t="s">
        <v>577</v>
      </c>
      <c r="Q9" s="12" t="s">
        <v>678</v>
      </c>
      <c r="R9" t="s">
        <v>682</v>
      </c>
      <c r="S9" s="12" t="s">
        <v>9</v>
      </c>
    </row>
    <row r="10" spans="1:19" ht="150" x14ac:dyDescent="0.25">
      <c r="A10" s="3">
        <v>15</v>
      </c>
      <c r="B10" s="18" t="s">
        <v>41</v>
      </c>
      <c r="C10" s="4" t="s">
        <v>9</v>
      </c>
      <c r="D10" s="12" t="s">
        <v>403</v>
      </c>
      <c r="E10" s="13">
        <v>501</v>
      </c>
      <c r="F10" s="4" t="s">
        <v>42</v>
      </c>
      <c r="G10" s="3" t="s">
        <v>687</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2" t="s">
        <v>577</v>
      </c>
      <c r="Q10" s="12" t="s">
        <v>676</v>
      </c>
      <c r="R10" t="s">
        <v>682</v>
      </c>
      <c r="S10" s="12" t="s">
        <v>9</v>
      </c>
    </row>
    <row r="11" spans="1:19" ht="30" x14ac:dyDescent="0.25">
      <c r="A11" s="3">
        <v>16</v>
      </c>
      <c r="B11" s="18" t="s">
        <v>43</v>
      </c>
      <c r="C11" s="4" t="s">
        <v>9</v>
      </c>
      <c r="D11" s="12" t="s">
        <v>417</v>
      </c>
      <c r="E11" s="13" t="s">
        <v>418</v>
      </c>
      <c r="F11" s="4" t="s">
        <v>44</v>
      </c>
      <c r="G11" s="3" t="s">
        <v>687</v>
      </c>
      <c r="H11" s="3" t="s">
        <v>33</v>
      </c>
      <c r="I11" s="3">
        <f>VLOOKUP(H11,cardsort_group_IDs!A:B,2,0)</f>
        <v>205</v>
      </c>
      <c r="J11" s="3" t="s">
        <v>45</v>
      </c>
      <c r="K11" s="3">
        <f>VLOOKUP(J11,cardsort_subgroup_IDs!A:B,2,0)</f>
        <v>310</v>
      </c>
      <c r="L11" s="3">
        <f t="shared" si="3"/>
        <v>3</v>
      </c>
      <c r="M11" s="3">
        <f t="shared" si="0"/>
        <v>3</v>
      </c>
      <c r="N11" s="3">
        <f t="shared" si="1"/>
        <v>3</v>
      </c>
      <c r="O11" s="3">
        <f t="shared" si="2"/>
        <v>6</v>
      </c>
      <c r="P11" s="12" t="s">
        <v>577</v>
      </c>
      <c r="Q11" s="12" t="s">
        <v>678</v>
      </c>
      <c r="R11" t="s">
        <v>682</v>
      </c>
      <c r="S11" s="12" t="s">
        <v>9</v>
      </c>
    </row>
    <row r="12" spans="1:19" ht="60" x14ac:dyDescent="0.25">
      <c r="A12" s="3">
        <v>17</v>
      </c>
      <c r="B12" s="18" t="s">
        <v>46</v>
      </c>
      <c r="C12" s="4" t="s">
        <v>47</v>
      </c>
      <c r="D12" s="13" t="s">
        <v>750</v>
      </c>
      <c r="E12" s="13" t="s">
        <v>498</v>
      </c>
      <c r="F12" s="4" t="s">
        <v>48</v>
      </c>
      <c r="G12" s="3" t="s">
        <v>687</v>
      </c>
      <c r="H12" s="3" t="s">
        <v>49</v>
      </c>
      <c r="I12" s="3">
        <f>VLOOKUP(H12,cardsort_group_IDs!A:B,2,0)</f>
        <v>206</v>
      </c>
      <c r="J12" s="3" t="s">
        <v>15</v>
      </c>
      <c r="K12" s="3">
        <f>VLOOKUP(J12,cardsort_subgroup_IDs!A:B,2,0)</f>
        <v>311</v>
      </c>
      <c r="L12" s="3">
        <f t="shared" si="3"/>
        <v>3</v>
      </c>
      <c r="M12" s="3">
        <f t="shared" si="0"/>
        <v>5</v>
      </c>
      <c r="N12" s="3">
        <f t="shared" si="1"/>
        <v>5</v>
      </c>
      <c r="O12" s="3">
        <f t="shared" si="2"/>
        <v>10</v>
      </c>
      <c r="P12" s="12" t="s">
        <v>577</v>
      </c>
      <c r="Q12" s="12" t="s">
        <v>677</v>
      </c>
      <c r="R12" t="s">
        <v>682</v>
      </c>
      <c r="S12" s="12" t="s">
        <v>9</v>
      </c>
    </row>
    <row r="13" spans="1:19" ht="30" x14ac:dyDescent="0.25">
      <c r="A13" s="3">
        <v>18</v>
      </c>
      <c r="B13" s="18" t="s">
        <v>50</v>
      </c>
      <c r="C13" s="4" t="s">
        <v>627</v>
      </c>
      <c r="D13" s="12" t="s">
        <v>628</v>
      </c>
      <c r="E13" s="13">
        <v>131</v>
      </c>
      <c r="F13" s="4" t="s">
        <v>51</v>
      </c>
      <c r="G13" s="3" t="s">
        <v>687</v>
      </c>
      <c r="H13" s="3" t="s">
        <v>33</v>
      </c>
      <c r="I13" s="3">
        <f>VLOOKUP(H13,cardsort_group_IDs!A:B,2,0)</f>
        <v>205</v>
      </c>
      <c r="J13" s="3" t="s">
        <v>45</v>
      </c>
      <c r="K13" s="3">
        <f>VLOOKUP(J13,cardsort_subgroup_IDs!A:B,2,0)</f>
        <v>310</v>
      </c>
      <c r="L13" s="3">
        <f t="shared" si="3"/>
        <v>3</v>
      </c>
      <c r="M13" s="3">
        <f t="shared" si="0"/>
        <v>3</v>
      </c>
      <c r="N13" s="3">
        <f t="shared" si="1"/>
        <v>1</v>
      </c>
      <c r="O13" s="3">
        <f t="shared" si="2"/>
        <v>4</v>
      </c>
      <c r="P13" s="12" t="s">
        <v>124</v>
      </c>
      <c r="Q13" s="12" t="s">
        <v>678</v>
      </c>
      <c r="R13" t="s">
        <v>682</v>
      </c>
      <c r="S13" s="12" t="s">
        <v>9</v>
      </c>
    </row>
    <row r="14" spans="1:19" ht="90" x14ac:dyDescent="0.25">
      <c r="A14" s="3">
        <v>19</v>
      </c>
      <c r="B14" s="18" t="s">
        <v>52</v>
      </c>
      <c r="C14" s="4" t="s">
        <v>246</v>
      </c>
      <c r="D14" s="12" t="s">
        <v>576</v>
      </c>
      <c r="E14" s="13" t="s">
        <v>504</v>
      </c>
      <c r="F14" s="4" t="s">
        <v>53</v>
      </c>
      <c r="G14" s="3" t="s">
        <v>687</v>
      </c>
      <c r="H14" s="3" t="s">
        <v>54</v>
      </c>
      <c r="I14" s="3">
        <f>VLOOKUP(H14,cardsort_group_IDs!A:B,2,0)</f>
        <v>207</v>
      </c>
      <c r="J14" s="3" t="s">
        <v>55</v>
      </c>
      <c r="K14" s="3">
        <f>VLOOKUP(J14,cardsort_subgroup_IDs!A:B,2,0)</f>
        <v>312</v>
      </c>
      <c r="L14" s="3">
        <f t="shared" si="3"/>
        <v>3</v>
      </c>
      <c r="M14" s="3">
        <f t="shared" si="0"/>
        <v>5</v>
      </c>
      <c r="N14" s="3">
        <f t="shared" si="1"/>
        <v>21</v>
      </c>
      <c r="O14" s="3">
        <f t="shared" si="2"/>
        <v>26</v>
      </c>
      <c r="P14" s="12" t="s">
        <v>577</v>
      </c>
      <c r="Q14" s="12" t="s">
        <v>677</v>
      </c>
      <c r="R14" t="s">
        <v>682</v>
      </c>
      <c r="S14" s="12" t="s">
        <v>9</v>
      </c>
    </row>
    <row r="15" spans="1:19" ht="75" x14ac:dyDescent="0.25">
      <c r="A15" s="3">
        <v>20</v>
      </c>
      <c r="B15" s="18" t="s">
        <v>56</v>
      </c>
      <c r="C15" s="4" t="s">
        <v>247</v>
      </c>
      <c r="D15" s="12" t="s">
        <v>9</v>
      </c>
      <c r="E15" s="13" t="s">
        <v>758</v>
      </c>
      <c r="F15" s="4" t="s">
        <v>57</v>
      </c>
      <c r="G15" s="3" t="s">
        <v>686</v>
      </c>
      <c r="H15" s="3" t="s">
        <v>488</v>
      </c>
      <c r="I15" s="3">
        <f>VLOOKUP(H15,cardsort_group_IDs!A:B,2,0)</f>
        <v>203</v>
      </c>
      <c r="J15" s="4" t="s">
        <v>58</v>
      </c>
      <c r="K15" s="3">
        <f>VLOOKUP(J15,cardsort_subgroup_IDs!A:B,2,0)</f>
        <v>313</v>
      </c>
      <c r="L15" s="3">
        <f t="shared" si="3"/>
        <v>1</v>
      </c>
      <c r="M15" s="3">
        <f t="shared" si="0"/>
        <v>0</v>
      </c>
      <c r="N15" s="3">
        <f t="shared" si="1"/>
        <v>6</v>
      </c>
      <c r="O15" s="3">
        <f t="shared" si="2"/>
        <v>6</v>
      </c>
      <c r="P15" s="12" t="s">
        <v>124</v>
      </c>
      <c r="Q15" s="12" t="s">
        <v>676</v>
      </c>
      <c r="R15" t="s">
        <v>683</v>
      </c>
      <c r="S15" s="12" t="s">
        <v>9</v>
      </c>
    </row>
    <row r="16" spans="1:19" ht="60" x14ac:dyDescent="0.25">
      <c r="A16" s="3">
        <v>22</v>
      </c>
      <c r="B16" s="20" t="s">
        <v>60</v>
      </c>
      <c r="C16" s="4" t="s">
        <v>9</v>
      </c>
      <c r="D16" s="12" t="s">
        <v>410</v>
      </c>
      <c r="E16" s="13" t="s">
        <v>412</v>
      </c>
      <c r="F16" s="4" t="s">
        <v>61</v>
      </c>
      <c r="G16" s="3" t="s">
        <v>687</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577</v>
      </c>
      <c r="Q16" s="12" t="s">
        <v>677</v>
      </c>
      <c r="R16" t="s">
        <v>681</v>
      </c>
      <c r="S16" s="12" t="s">
        <v>9</v>
      </c>
    </row>
    <row r="17" spans="1:19" ht="90" x14ac:dyDescent="0.25">
      <c r="A17" s="3">
        <v>23</v>
      </c>
      <c r="B17" s="21" t="s">
        <v>62</v>
      </c>
      <c r="C17" s="5" t="s">
        <v>248</v>
      </c>
      <c r="D17" s="12" t="s">
        <v>9</v>
      </c>
      <c r="E17" s="13" t="s">
        <v>398</v>
      </c>
      <c r="F17" s="5" t="s">
        <v>64</v>
      </c>
      <c r="G17" s="3" t="s">
        <v>687</v>
      </c>
      <c r="H17" s="3" t="s">
        <v>49</v>
      </c>
      <c r="I17" s="3">
        <f>VLOOKUP(H17,cardsort_group_IDs!A:B,2,0)</f>
        <v>206</v>
      </c>
      <c r="J17" s="3" t="s">
        <v>65</v>
      </c>
      <c r="K17" s="3">
        <f>VLOOKUP(J17,cardsort_subgroup_IDs!A:B,2,0)</f>
        <v>316</v>
      </c>
      <c r="L17" s="3">
        <f t="shared" si="3"/>
        <v>1</v>
      </c>
      <c r="M17" s="3">
        <f t="shared" si="0"/>
        <v>0</v>
      </c>
      <c r="N17" s="3">
        <f t="shared" si="1"/>
        <v>2</v>
      </c>
      <c r="O17" s="3">
        <f t="shared" si="2"/>
        <v>2</v>
      </c>
      <c r="P17" s="12" t="s">
        <v>577</v>
      </c>
      <c r="Q17" s="12" t="s">
        <v>677</v>
      </c>
      <c r="R17" t="s">
        <v>681</v>
      </c>
      <c r="S17" s="12" t="s">
        <v>9</v>
      </c>
    </row>
    <row r="18" spans="1:19" ht="150" x14ac:dyDescent="0.25">
      <c r="A18" s="3">
        <v>24</v>
      </c>
      <c r="B18" s="18" t="s">
        <v>66</v>
      </c>
      <c r="C18" s="4" t="s">
        <v>9</v>
      </c>
      <c r="D18" s="12" t="s">
        <v>9</v>
      </c>
      <c r="E18" s="13">
        <v>508</v>
      </c>
      <c r="F18" s="4" t="s">
        <v>68</v>
      </c>
      <c r="G18" s="3" t="s">
        <v>687</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577</v>
      </c>
      <c r="Q18" s="12" t="s">
        <v>677</v>
      </c>
      <c r="R18" t="s">
        <v>683</v>
      </c>
      <c r="S18" s="12" t="s">
        <v>9</v>
      </c>
    </row>
    <row r="19" spans="1:19" ht="90" x14ac:dyDescent="0.25">
      <c r="A19" s="3">
        <v>25</v>
      </c>
      <c r="B19" s="18" t="s">
        <v>69</v>
      </c>
      <c r="C19" s="4" t="s">
        <v>70</v>
      </c>
      <c r="D19" s="12" t="s">
        <v>9</v>
      </c>
      <c r="E19" s="13" t="s">
        <v>510</v>
      </c>
      <c r="F19" s="4" t="s">
        <v>71</v>
      </c>
      <c r="G19" s="3" t="s">
        <v>686</v>
      </c>
      <c r="H19" s="3" t="s">
        <v>72</v>
      </c>
      <c r="I19" s="3">
        <f>VLOOKUP(H19,cardsort_group_IDs!A:B,2,0)</f>
        <v>208</v>
      </c>
      <c r="J19" s="3" t="s">
        <v>33</v>
      </c>
      <c r="K19" s="3">
        <f>VLOOKUP(J19,cardsort_subgroup_IDs!A:B,2,0)</f>
        <v>317</v>
      </c>
      <c r="L19" s="3">
        <f t="shared" si="3"/>
        <v>1</v>
      </c>
      <c r="M19" s="3">
        <f t="shared" si="0"/>
        <v>0</v>
      </c>
      <c r="N19" s="3">
        <f t="shared" si="1"/>
        <v>3</v>
      </c>
      <c r="O19" s="3">
        <f t="shared" si="2"/>
        <v>3</v>
      </c>
      <c r="P19" s="12" t="s">
        <v>577</v>
      </c>
      <c r="Q19" s="12" t="s">
        <v>678</v>
      </c>
      <c r="R19" t="s">
        <v>681</v>
      </c>
      <c r="S19" s="12" t="s">
        <v>9</v>
      </c>
    </row>
    <row r="20" spans="1:19" ht="30" x14ac:dyDescent="0.25">
      <c r="A20" s="3">
        <v>26</v>
      </c>
      <c r="B20" s="18" t="s">
        <v>73</v>
      </c>
      <c r="C20" s="4" t="s">
        <v>9</v>
      </c>
      <c r="D20" s="12" t="s">
        <v>419</v>
      </c>
      <c r="E20" s="13">
        <v>131</v>
      </c>
      <c r="F20" s="4" t="s">
        <v>74</v>
      </c>
      <c r="G20" s="3" t="s">
        <v>687</v>
      </c>
      <c r="H20" s="3" t="s">
        <v>72</v>
      </c>
      <c r="I20" s="3">
        <f>VLOOKUP(H20,cardsort_group_IDs!A:B,2,0)</f>
        <v>208</v>
      </c>
      <c r="J20" s="3" t="s">
        <v>33</v>
      </c>
      <c r="K20" s="3">
        <f>VLOOKUP(J20,cardsort_subgroup_IDs!A:B,2,0)</f>
        <v>317</v>
      </c>
      <c r="L20" s="3">
        <f t="shared" si="3"/>
        <v>3</v>
      </c>
      <c r="M20" s="3">
        <f t="shared" si="0"/>
        <v>2</v>
      </c>
      <c r="N20" s="3">
        <f t="shared" si="1"/>
        <v>1</v>
      </c>
      <c r="O20" s="3">
        <f t="shared" si="2"/>
        <v>3</v>
      </c>
      <c r="P20" s="12" t="s">
        <v>577</v>
      </c>
      <c r="Q20" s="12" t="s">
        <v>678</v>
      </c>
      <c r="R20" t="s">
        <v>682</v>
      </c>
      <c r="S20" s="12" t="s">
        <v>9</v>
      </c>
    </row>
    <row r="21" spans="1:19" ht="60" x14ac:dyDescent="0.25">
      <c r="A21" s="3">
        <v>27</v>
      </c>
      <c r="B21" s="18" t="s">
        <v>26</v>
      </c>
      <c r="C21" s="4" t="s">
        <v>607</v>
      </c>
      <c r="D21" s="13" t="s">
        <v>746</v>
      </c>
      <c r="E21" s="13" t="s">
        <v>420</v>
      </c>
      <c r="F21" s="4" t="s">
        <v>75</v>
      </c>
      <c r="G21" s="3" t="s">
        <v>687</v>
      </c>
      <c r="H21" s="3" t="s">
        <v>15</v>
      </c>
      <c r="I21" s="3">
        <f>VLOOKUP(H21,cardsort_group_IDs!A:B,2,0)</f>
        <v>204</v>
      </c>
      <c r="J21" s="3" t="s">
        <v>26</v>
      </c>
      <c r="K21" s="3">
        <f>VLOOKUP(J21,cardsort_subgroup_IDs!A:B,2,0)</f>
        <v>306</v>
      </c>
      <c r="L21" s="3">
        <f t="shared" si="3"/>
        <v>3</v>
      </c>
      <c r="M21" s="3">
        <f t="shared" si="0"/>
        <v>13</v>
      </c>
      <c r="N21" s="3">
        <f t="shared" si="1"/>
        <v>5</v>
      </c>
      <c r="O21" s="3">
        <f t="shared" si="2"/>
        <v>18</v>
      </c>
      <c r="P21" s="12" t="s">
        <v>124</v>
      </c>
      <c r="Q21" s="12" t="s">
        <v>677</v>
      </c>
      <c r="R21" t="s">
        <v>682</v>
      </c>
      <c r="S21" s="12" t="s">
        <v>9</v>
      </c>
    </row>
    <row r="22" spans="1:19" ht="45" x14ac:dyDescent="0.25">
      <c r="A22" s="3">
        <v>29</v>
      </c>
      <c r="B22" s="18" t="s">
        <v>77</v>
      </c>
      <c r="C22" s="4" t="s">
        <v>249</v>
      </c>
      <c r="D22" s="12" t="s">
        <v>9</v>
      </c>
      <c r="E22" s="13">
        <v>236</v>
      </c>
      <c r="F22" s="4" t="s">
        <v>78</v>
      </c>
      <c r="G22" s="3" t="s">
        <v>687</v>
      </c>
      <c r="H22" s="3" t="s">
        <v>33</v>
      </c>
      <c r="I22" s="3">
        <f>VLOOKUP(H22,cardsort_group_IDs!A:B,2,0)</f>
        <v>205</v>
      </c>
      <c r="J22" s="3" t="s">
        <v>34</v>
      </c>
      <c r="K22" s="3">
        <f>VLOOKUP(J22,cardsort_subgroup_IDs!A:B,2,0)</f>
        <v>308</v>
      </c>
      <c r="L22" s="3">
        <f t="shared" si="3"/>
        <v>1</v>
      </c>
      <c r="M22" s="3">
        <f t="shared" si="0"/>
        <v>0</v>
      </c>
      <c r="N22" s="3">
        <f t="shared" si="1"/>
        <v>1</v>
      </c>
      <c r="O22" s="3">
        <f t="shared" si="2"/>
        <v>1</v>
      </c>
      <c r="P22" s="12" t="s">
        <v>577</v>
      </c>
      <c r="Q22" s="12" t="s">
        <v>678</v>
      </c>
      <c r="R22" t="s">
        <v>682</v>
      </c>
      <c r="S22" s="12" t="s">
        <v>9</v>
      </c>
    </row>
    <row r="23" spans="1:19" ht="75" x14ac:dyDescent="0.25">
      <c r="A23" s="3">
        <v>30</v>
      </c>
      <c r="B23" s="25" t="s">
        <v>79</v>
      </c>
      <c r="C23" s="4" t="s">
        <v>9</v>
      </c>
      <c r="D23" s="13" t="s">
        <v>612</v>
      </c>
      <c r="E23" s="13" t="s">
        <v>696</v>
      </c>
      <c r="F23" s="4" t="s">
        <v>775</v>
      </c>
      <c r="G23" s="3" t="s">
        <v>687</v>
      </c>
      <c r="H23" s="3" t="s">
        <v>72</v>
      </c>
      <c r="I23" s="3">
        <f>VLOOKUP(H23,cardsort_group_IDs!A:B,2,0)</f>
        <v>208</v>
      </c>
      <c r="J23" s="3" t="s">
        <v>79</v>
      </c>
      <c r="K23" s="3">
        <f>VLOOKUP(J23,cardsort_subgroup_IDs!A:B,2,0)</f>
        <v>318</v>
      </c>
      <c r="L23" s="3">
        <f t="shared" si="3"/>
        <v>3</v>
      </c>
      <c r="M23" s="3">
        <f t="shared" si="0"/>
        <v>9</v>
      </c>
      <c r="N23" s="3">
        <f t="shared" si="1"/>
        <v>12</v>
      </c>
      <c r="O23" s="3">
        <f t="shared" si="2"/>
        <v>21</v>
      </c>
      <c r="P23" s="12" t="s">
        <v>124</v>
      </c>
      <c r="Q23" s="12" t="s">
        <v>677</v>
      </c>
      <c r="R23" t="s">
        <v>682</v>
      </c>
      <c r="S23" s="12" t="s">
        <v>9</v>
      </c>
    </row>
    <row r="24" spans="1:19" ht="30" x14ac:dyDescent="0.25">
      <c r="A24" s="3">
        <v>31</v>
      </c>
      <c r="B24" s="18" t="s">
        <v>80</v>
      </c>
      <c r="C24" s="4" t="s">
        <v>250</v>
      </c>
      <c r="D24" s="12">
        <v>170</v>
      </c>
      <c r="E24" s="13" t="s">
        <v>511</v>
      </c>
      <c r="F24" s="4" t="s">
        <v>81</v>
      </c>
      <c r="G24" s="3" t="s">
        <v>687</v>
      </c>
      <c r="H24" s="3" t="s">
        <v>33</v>
      </c>
      <c r="I24" s="3">
        <f>VLOOKUP(H24,cardsort_group_IDs!A:B,2,0)</f>
        <v>205</v>
      </c>
      <c r="J24" s="3" t="s">
        <v>82</v>
      </c>
      <c r="K24" s="3">
        <f>VLOOKUP(J24,cardsort_subgroup_IDs!A:B,2,0)</f>
        <v>319</v>
      </c>
      <c r="L24" s="3">
        <f t="shared" si="3"/>
        <v>3</v>
      </c>
      <c r="M24" s="3">
        <f t="shared" si="0"/>
        <v>1</v>
      </c>
      <c r="N24" s="3">
        <f t="shared" si="1"/>
        <v>3</v>
      </c>
      <c r="O24" s="3">
        <f t="shared" si="2"/>
        <v>4</v>
      </c>
      <c r="P24" s="12" t="s">
        <v>577</v>
      </c>
      <c r="Q24" s="12" t="s">
        <v>677</v>
      </c>
      <c r="R24" t="s">
        <v>682</v>
      </c>
      <c r="S24" s="12" t="s">
        <v>9</v>
      </c>
    </row>
    <row r="25" spans="1:19" ht="120" x14ac:dyDescent="0.25">
      <c r="A25" s="3">
        <v>32</v>
      </c>
      <c r="B25" s="18" t="s">
        <v>83</v>
      </c>
      <c r="C25" s="4" t="s">
        <v>9</v>
      </c>
      <c r="D25" s="12" t="s">
        <v>400</v>
      </c>
      <c r="E25" s="13">
        <v>501</v>
      </c>
      <c r="F25" s="4" t="s">
        <v>85</v>
      </c>
      <c r="G25" s="3" t="s">
        <v>687</v>
      </c>
      <c r="H25" s="3" t="s">
        <v>72</v>
      </c>
      <c r="I25" s="3">
        <f>VLOOKUP(H25,cardsort_group_IDs!A:B,2,0)</f>
        <v>208</v>
      </c>
      <c r="J25" s="3" t="s">
        <v>79</v>
      </c>
      <c r="K25" s="3">
        <f>VLOOKUP(J25,cardsort_subgroup_IDs!A:B,2,0)</f>
        <v>318</v>
      </c>
      <c r="L25" s="3">
        <f t="shared" si="3"/>
        <v>3</v>
      </c>
      <c r="M25" s="3">
        <f t="shared" si="0"/>
        <v>1</v>
      </c>
      <c r="N25" s="3">
        <f t="shared" si="1"/>
        <v>1</v>
      </c>
      <c r="O25" s="3">
        <f t="shared" si="2"/>
        <v>2</v>
      </c>
      <c r="P25" s="12" t="s">
        <v>577</v>
      </c>
      <c r="Q25" s="12" t="s">
        <v>677</v>
      </c>
      <c r="R25" t="s">
        <v>682</v>
      </c>
      <c r="S25" s="12" t="s">
        <v>9</v>
      </c>
    </row>
    <row r="26" spans="1:19" ht="45" x14ac:dyDescent="0.25">
      <c r="A26" s="3">
        <v>33</v>
      </c>
      <c r="B26" s="18" t="s">
        <v>86</v>
      </c>
      <c r="C26" s="4" t="s">
        <v>9</v>
      </c>
      <c r="D26" s="12" t="s">
        <v>410</v>
      </c>
      <c r="E26" s="13" t="s">
        <v>412</v>
      </c>
      <c r="F26" s="4" t="s">
        <v>87</v>
      </c>
      <c r="G26" s="3" t="s">
        <v>686</v>
      </c>
      <c r="H26" s="3" t="s">
        <v>15</v>
      </c>
      <c r="I26" s="3">
        <f>VLOOKUP(H26,cardsort_group_IDs!A:B,2,0)</f>
        <v>204</v>
      </c>
      <c r="J26" s="3" t="s">
        <v>88</v>
      </c>
      <c r="K26" s="3">
        <f>VLOOKUP(J26,cardsort_subgroup_IDs!A:B,2,0)</f>
        <v>320</v>
      </c>
      <c r="L26" s="3">
        <f t="shared" si="3"/>
        <v>3</v>
      </c>
      <c r="M26" s="3">
        <f t="shared" si="0"/>
        <v>1</v>
      </c>
      <c r="N26" s="3">
        <f t="shared" si="1"/>
        <v>2</v>
      </c>
      <c r="O26" s="3">
        <f t="shared" si="2"/>
        <v>3</v>
      </c>
      <c r="P26" s="12" t="s">
        <v>577</v>
      </c>
      <c r="Q26" s="12" t="s">
        <v>678</v>
      </c>
      <c r="R26" t="s">
        <v>683</v>
      </c>
      <c r="S26" s="12" t="s">
        <v>9</v>
      </c>
    </row>
    <row r="27" spans="1:19" ht="75" x14ac:dyDescent="0.25">
      <c r="A27" s="3">
        <v>34</v>
      </c>
      <c r="B27" s="18" t="s">
        <v>89</v>
      </c>
      <c r="C27" s="4" t="s">
        <v>251</v>
      </c>
      <c r="D27" s="13" t="s">
        <v>499</v>
      </c>
      <c r="E27" s="13" t="s">
        <v>500</v>
      </c>
      <c r="F27" s="4" t="s">
        <v>90</v>
      </c>
      <c r="G27" s="3" t="s">
        <v>687</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2" t="s">
        <v>577</v>
      </c>
      <c r="Q27" s="12" t="s">
        <v>676</v>
      </c>
      <c r="R27" t="s">
        <v>682</v>
      </c>
      <c r="S27" s="12" t="s">
        <v>9</v>
      </c>
    </row>
    <row r="28" spans="1:19" ht="120" x14ac:dyDescent="0.25">
      <c r="A28" s="3">
        <v>35</v>
      </c>
      <c r="B28" s="18" t="s">
        <v>91</v>
      </c>
      <c r="C28" s="4" t="s">
        <v>9</v>
      </c>
      <c r="D28" s="12" t="s">
        <v>410</v>
      </c>
      <c r="E28" s="13" t="s">
        <v>412</v>
      </c>
      <c r="F28" s="4" t="s">
        <v>92</v>
      </c>
      <c r="G28" s="3" t="s">
        <v>686</v>
      </c>
      <c r="H28" s="3" t="s">
        <v>488</v>
      </c>
      <c r="I28" s="3">
        <f>VLOOKUP(H28,cardsort_group_IDs!A:B,2,0)</f>
        <v>203</v>
      </c>
      <c r="J28" s="3" t="s">
        <v>93</v>
      </c>
      <c r="K28" s="3">
        <f>VLOOKUP(J28,cardsort_subgroup_IDs!A:B,2,0)</f>
        <v>321</v>
      </c>
      <c r="L28" s="3">
        <f t="shared" si="3"/>
        <v>3</v>
      </c>
      <c r="M28" s="3">
        <f t="shared" si="0"/>
        <v>1</v>
      </c>
      <c r="N28" s="3">
        <f t="shared" si="1"/>
        <v>2</v>
      </c>
      <c r="O28" s="3">
        <f t="shared" si="2"/>
        <v>3</v>
      </c>
      <c r="P28" s="12" t="s">
        <v>577</v>
      </c>
      <c r="Q28" s="12" t="s">
        <v>676</v>
      </c>
      <c r="R28" t="s">
        <v>683</v>
      </c>
      <c r="S28" s="12" t="s">
        <v>9</v>
      </c>
    </row>
    <row r="29" spans="1:19" ht="180" x14ac:dyDescent="0.25">
      <c r="A29" s="3">
        <v>36</v>
      </c>
      <c r="B29" s="18" t="s">
        <v>94</v>
      </c>
      <c r="C29" s="4" t="s">
        <v>617</v>
      </c>
      <c r="D29" s="13" t="s">
        <v>657</v>
      </c>
      <c r="E29" s="13" t="s">
        <v>697</v>
      </c>
      <c r="F29" s="4" t="s">
        <v>95</v>
      </c>
      <c r="G29" s="3" t="s">
        <v>686</v>
      </c>
      <c r="H29" s="3" t="s">
        <v>488</v>
      </c>
      <c r="I29" s="3">
        <f>VLOOKUP(H29,cardsort_group_IDs!A:B,2,0)</f>
        <v>203</v>
      </c>
      <c r="J29" s="3" t="s">
        <v>96</v>
      </c>
      <c r="K29" s="3">
        <f>VLOOKUP(J29,cardsort_subgroup_IDs!A:B,2,0)</f>
        <v>322</v>
      </c>
      <c r="L29" s="3">
        <f t="shared" si="3"/>
        <v>3</v>
      </c>
      <c r="M29" s="3">
        <f t="shared" si="0"/>
        <v>28</v>
      </c>
      <c r="N29" s="3">
        <f t="shared" si="1"/>
        <v>15</v>
      </c>
      <c r="O29" s="3">
        <f t="shared" si="2"/>
        <v>43</v>
      </c>
      <c r="P29" s="12" t="s">
        <v>124</v>
      </c>
      <c r="Q29" s="12" t="s">
        <v>676</v>
      </c>
      <c r="R29" t="s">
        <v>682</v>
      </c>
      <c r="S29" s="12" t="s">
        <v>9</v>
      </c>
    </row>
    <row r="30" spans="1:19" ht="255" x14ac:dyDescent="0.25">
      <c r="A30" s="3">
        <v>37</v>
      </c>
      <c r="B30" s="18" t="s">
        <v>97</v>
      </c>
      <c r="C30" s="4" t="s">
        <v>9</v>
      </c>
      <c r="D30" s="12" t="s">
        <v>9</v>
      </c>
      <c r="E30" s="13">
        <v>506</v>
      </c>
      <c r="F30" s="4" t="s">
        <v>98</v>
      </c>
      <c r="G30" s="3" t="s">
        <v>686</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2" t="s">
        <v>577</v>
      </c>
      <c r="Q30" s="12" t="s">
        <v>677</v>
      </c>
      <c r="R30" t="s">
        <v>683</v>
      </c>
      <c r="S30" s="12" t="s">
        <v>9</v>
      </c>
    </row>
    <row r="31" spans="1:19" ht="135" x14ac:dyDescent="0.25">
      <c r="A31" s="3">
        <v>38</v>
      </c>
      <c r="B31" s="18" t="s">
        <v>99</v>
      </c>
      <c r="C31" s="4" t="s">
        <v>709</v>
      </c>
      <c r="D31" s="12" t="s">
        <v>626</v>
      </c>
      <c r="E31" s="13" t="s">
        <v>698</v>
      </c>
      <c r="F31" s="6" t="s">
        <v>685</v>
      </c>
      <c r="G31" s="3" t="s">
        <v>687</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2" t="s">
        <v>124</v>
      </c>
      <c r="Q31" s="12" t="s">
        <v>676</v>
      </c>
      <c r="R31" t="s">
        <v>681</v>
      </c>
      <c r="S31" s="12" t="s">
        <v>9</v>
      </c>
    </row>
    <row r="32" spans="1:19" ht="75" x14ac:dyDescent="0.25">
      <c r="A32" s="3">
        <v>39</v>
      </c>
      <c r="B32" s="20" t="s">
        <v>100</v>
      </c>
      <c r="C32" s="4" t="s">
        <v>9</v>
      </c>
      <c r="D32" s="12" t="s">
        <v>410</v>
      </c>
      <c r="E32" s="13" t="s">
        <v>412</v>
      </c>
      <c r="F32" s="4" t="s">
        <v>101</v>
      </c>
      <c r="G32" s="3" t="s">
        <v>686</v>
      </c>
      <c r="H32" s="3" t="s">
        <v>15</v>
      </c>
      <c r="I32" s="3">
        <f>VLOOKUP(H32,cardsort_group_IDs!A:B,2,0)</f>
        <v>204</v>
      </c>
      <c r="J32" s="3" t="s">
        <v>88</v>
      </c>
      <c r="K32" s="3">
        <f>VLOOKUP(J32,cardsort_subgroup_IDs!A:B,2,0)</f>
        <v>320</v>
      </c>
      <c r="L32" s="3">
        <f t="shared" si="3"/>
        <v>3</v>
      </c>
      <c r="M32" s="3">
        <f t="shared" ref="M32:M62" si="4">IF(D32="-",0,LEN(D32)-LEN(SUBSTITUTE(D32,";",""))+1)</f>
        <v>1</v>
      </c>
      <c r="N32" s="3">
        <f t="shared" ref="N32:N62" si="5">IF(E32="-",0,LEN(E32)-LEN(SUBSTITUTE(E32,";",""))+1)</f>
        <v>2</v>
      </c>
      <c r="O32" s="3">
        <f t="shared" si="2"/>
        <v>3</v>
      </c>
      <c r="P32" s="12" t="s">
        <v>577</v>
      </c>
      <c r="Q32" s="12" t="s">
        <v>676</v>
      </c>
      <c r="R32" t="s">
        <v>681</v>
      </c>
      <c r="S32" s="12" t="s">
        <v>9</v>
      </c>
    </row>
    <row r="33" spans="1:19" ht="120" x14ac:dyDescent="0.25">
      <c r="A33" s="3">
        <v>40</v>
      </c>
      <c r="B33" s="20" t="s">
        <v>58</v>
      </c>
      <c r="C33" s="4" t="s">
        <v>102</v>
      </c>
      <c r="D33" s="13" t="s">
        <v>493</v>
      </c>
      <c r="E33" s="13" t="s">
        <v>699</v>
      </c>
      <c r="F33" s="4" t="s">
        <v>103</v>
      </c>
      <c r="G33" s="3" t="s">
        <v>686</v>
      </c>
      <c r="H33" s="3" t="s">
        <v>488</v>
      </c>
      <c r="I33" s="3">
        <f>VLOOKUP(H33,cardsort_group_IDs!A:B,2,0)</f>
        <v>203</v>
      </c>
      <c r="J33" s="4" t="s">
        <v>58</v>
      </c>
      <c r="K33" s="3">
        <f>VLOOKUP(J33,cardsort_subgroup_IDs!A:B,2,0)</f>
        <v>313</v>
      </c>
      <c r="L33" s="3">
        <f t="shared" si="3"/>
        <v>3</v>
      </c>
      <c r="M33" s="3">
        <f t="shared" si="4"/>
        <v>7</v>
      </c>
      <c r="N33" s="3">
        <f t="shared" si="5"/>
        <v>7</v>
      </c>
      <c r="O33" s="3">
        <f t="shared" si="2"/>
        <v>14</v>
      </c>
      <c r="P33" s="12" t="s">
        <v>124</v>
      </c>
      <c r="Q33" s="12" t="s">
        <v>676</v>
      </c>
      <c r="R33" t="s">
        <v>681</v>
      </c>
      <c r="S33" s="12" t="s">
        <v>9</v>
      </c>
    </row>
    <row r="34" spans="1:19" ht="75" x14ac:dyDescent="0.25">
      <c r="A34" s="3">
        <v>41</v>
      </c>
      <c r="B34" s="21" t="s">
        <v>104</v>
      </c>
      <c r="C34" s="5" t="s">
        <v>276</v>
      </c>
      <c r="D34" s="12" t="s">
        <v>401</v>
      </c>
      <c r="E34" s="13" t="s">
        <v>413</v>
      </c>
      <c r="F34" s="5" t="s">
        <v>105</v>
      </c>
      <c r="G34" s="3" t="s">
        <v>686</v>
      </c>
      <c r="H34" s="3" t="s">
        <v>488</v>
      </c>
      <c r="I34" s="3">
        <f>VLOOKUP(H34,cardsort_group_IDs!A:B,2,0)</f>
        <v>203</v>
      </c>
      <c r="J34" s="3" t="s">
        <v>93</v>
      </c>
      <c r="K34" s="3">
        <f>VLOOKUP(J34,cardsort_subgroup_IDs!A:B,2,0)</f>
        <v>321</v>
      </c>
      <c r="L34" s="3">
        <f t="shared" si="3"/>
        <v>3</v>
      </c>
      <c r="M34" s="3">
        <f t="shared" si="4"/>
        <v>4</v>
      </c>
      <c r="N34" s="3">
        <f t="shared" si="5"/>
        <v>2</v>
      </c>
      <c r="O34" s="3">
        <f t="shared" si="2"/>
        <v>6</v>
      </c>
      <c r="P34" s="12" t="s">
        <v>577</v>
      </c>
      <c r="Q34" s="12" t="s">
        <v>676</v>
      </c>
      <c r="R34" t="s">
        <v>681</v>
      </c>
      <c r="S34" s="12" t="s">
        <v>9</v>
      </c>
    </row>
    <row r="35" spans="1:19" ht="60" x14ac:dyDescent="0.25">
      <c r="A35" s="3">
        <v>42</v>
      </c>
      <c r="B35" s="18" t="s">
        <v>106</v>
      </c>
      <c r="C35" s="4" t="s">
        <v>252</v>
      </c>
      <c r="D35" s="12" t="s">
        <v>9</v>
      </c>
      <c r="E35" s="13" t="s">
        <v>530</v>
      </c>
      <c r="F35" s="4" t="s">
        <v>107</v>
      </c>
      <c r="G35" s="3" t="s">
        <v>687</v>
      </c>
      <c r="H35" s="3" t="s">
        <v>33</v>
      </c>
      <c r="I35" s="3">
        <f>VLOOKUP(H35,cardsort_group_IDs!A:B,2,0)</f>
        <v>205</v>
      </c>
      <c r="J35" s="3" t="s">
        <v>34</v>
      </c>
      <c r="K35" s="3">
        <f>VLOOKUP(J35,cardsort_subgroup_IDs!A:B,2,0)</f>
        <v>308</v>
      </c>
      <c r="L35" s="3">
        <f t="shared" si="3"/>
        <v>1</v>
      </c>
      <c r="M35" s="3">
        <f t="shared" si="4"/>
        <v>0</v>
      </c>
      <c r="N35" s="3">
        <f t="shared" si="5"/>
        <v>2</v>
      </c>
      <c r="O35" s="3">
        <f t="shared" si="2"/>
        <v>2</v>
      </c>
      <c r="P35" s="12" t="s">
        <v>577</v>
      </c>
      <c r="Q35" s="12" t="s">
        <v>678</v>
      </c>
      <c r="R35" t="s">
        <v>682</v>
      </c>
      <c r="S35" s="12" t="s">
        <v>9</v>
      </c>
    </row>
    <row r="36" spans="1:19" ht="75" x14ac:dyDescent="0.25">
      <c r="A36" s="3">
        <v>43</v>
      </c>
      <c r="B36" s="22" t="s">
        <v>108</v>
      </c>
      <c r="C36" s="5" t="s">
        <v>9</v>
      </c>
      <c r="D36" s="12" t="s">
        <v>410</v>
      </c>
      <c r="E36" s="13" t="s">
        <v>412</v>
      </c>
      <c r="F36" s="5" t="s">
        <v>109</v>
      </c>
      <c r="G36" s="3" t="s">
        <v>686</v>
      </c>
      <c r="H36" s="3" t="s">
        <v>488</v>
      </c>
      <c r="I36" s="3">
        <f>VLOOKUP(H36,cardsort_group_IDs!A:B,2,0)</f>
        <v>203</v>
      </c>
      <c r="J36" s="3" t="s">
        <v>110</v>
      </c>
      <c r="K36" s="3">
        <f>VLOOKUP(J36,cardsort_subgroup_IDs!A:B,2,0)</f>
        <v>323</v>
      </c>
      <c r="L36" s="3">
        <f t="shared" si="3"/>
        <v>3</v>
      </c>
      <c r="M36" s="3">
        <f t="shared" si="4"/>
        <v>1</v>
      </c>
      <c r="N36" s="3">
        <f t="shared" si="5"/>
        <v>2</v>
      </c>
      <c r="O36" s="3">
        <f t="shared" si="2"/>
        <v>3</v>
      </c>
      <c r="P36" s="12" t="s">
        <v>577</v>
      </c>
      <c r="Q36" s="12" t="s">
        <v>676</v>
      </c>
      <c r="R36" t="s">
        <v>681</v>
      </c>
      <c r="S36" s="12" t="s">
        <v>9</v>
      </c>
    </row>
    <row r="37" spans="1:19" ht="75" x14ac:dyDescent="0.25">
      <c r="A37" s="3">
        <v>44</v>
      </c>
      <c r="B37" s="18" t="s">
        <v>111</v>
      </c>
      <c r="C37" s="4" t="s">
        <v>556</v>
      </c>
      <c r="D37" s="13" t="s">
        <v>406</v>
      </c>
      <c r="E37" s="13" t="s">
        <v>501</v>
      </c>
      <c r="F37" s="4" t="s">
        <v>113</v>
      </c>
      <c r="G37" s="3" t="s">
        <v>687</v>
      </c>
      <c r="H37" s="3" t="s">
        <v>21</v>
      </c>
      <c r="I37" s="3">
        <f>VLOOKUP(H37,cardsort_group_IDs!A:B,2,0)</f>
        <v>202</v>
      </c>
      <c r="J37" s="3" t="s">
        <v>114</v>
      </c>
      <c r="K37" s="3">
        <f>VLOOKUP(J37,cardsort_subgroup_IDs!A:B,2,0)</f>
        <v>324</v>
      </c>
      <c r="L37" s="3">
        <f t="shared" si="3"/>
        <v>3</v>
      </c>
      <c r="M37" s="3">
        <f t="shared" si="4"/>
        <v>1</v>
      </c>
      <c r="N37" s="3">
        <f t="shared" si="5"/>
        <v>2</v>
      </c>
      <c r="O37" s="3">
        <f t="shared" si="2"/>
        <v>3</v>
      </c>
      <c r="P37" s="12" t="s">
        <v>124</v>
      </c>
      <c r="Q37" s="12" t="s">
        <v>677</v>
      </c>
      <c r="R37" t="s">
        <v>681</v>
      </c>
      <c r="S37" s="12" t="s">
        <v>9</v>
      </c>
    </row>
    <row r="38" spans="1:19" ht="90" x14ac:dyDescent="0.25">
      <c r="A38" s="3">
        <v>45</v>
      </c>
      <c r="B38" s="25" t="s">
        <v>115</v>
      </c>
      <c r="C38" s="4" t="s">
        <v>9</v>
      </c>
      <c r="D38" s="12" t="s">
        <v>9</v>
      </c>
      <c r="E38" s="13" t="s">
        <v>700</v>
      </c>
      <c r="F38" s="4" t="s">
        <v>776</v>
      </c>
      <c r="G38" s="3" t="s">
        <v>687</v>
      </c>
      <c r="H38" s="3" t="s">
        <v>21</v>
      </c>
      <c r="I38" s="3">
        <f>VLOOKUP(H38,cardsort_group_IDs!A:B,2,0)</f>
        <v>202</v>
      </c>
      <c r="J38" s="3" t="s">
        <v>116</v>
      </c>
      <c r="K38" s="3">
        <f>VLOOKUP(J38,cardsort_subgroup_IDs!A:B,2,0)</f>
        <v>325</v>
      </c>
      <c r="L38" s="3">
        <f t="shared" si="3"/>
        <v>1</v>
      </c>
      <c r="M38" s="3">
        <f t="shared" si="4"/>
        <v>0</v>
      </c>
      <c r="N38" s="3">
        <f t="shared" si="5"/>
        <v>2</v>
      </c>
      <c r="O38" s="3">
        <f t="shared" si="2"/>
        <v>2</v>
      </c>
      <c r="P38" s="12" t="s">
        <v>577</v>
      </c>
      <c r="Q38" s="12" t="s">
        <v>677</v>
      </c>
      <c r="R38" t="s">
        <v>682</v>
      </c>
      <c r="S38" s="12" t="s">
        <v>9</v>
      </c>
    </row>
    <row r="39" spans="1:19" ht="30" x14ac:dyDescent="0.25">
      <c r="A39" s="3">
        <v>46</v>
      </c>
      <c r="B39" s="18" t="s">
        <v>117</v>
      </c>
      <c r="C39" s="4" t="s">
        <v>9</v>
      </c>
      <c r="D39" s="12" t="s">
        <v>9</v>
      </c>
      <c r="E39" s="13" t="s">
        <v>430</v>
      </c>
      <c r="F39" s="4" t="s">
        <v>118</v>
      </c>
      <c r="G39" s="3" t="s">
        <v>687</v>
      </c>
      <c r="H39" s="3" t="s">
        <v>49</v>
      </c>
      <c r="I39" s="3">
        <f>VLOOKUP(H39,cardsort_group_IDs!A:B,2,0)</f>
        <v>206</v>
      </c>
      <c r="J39" s="3" t="s">
        <v>119</v>
      </c>
      <c r="K39" s="3">
        <f>VLOOKUP(J39,cardsort_subgroup_IDs!A:B,2,0)</f>
        <v>326</v>
      </c>
      <c r="L39" s="3">
        <f t="shared" si="3"/>
        <v>1</v>
      </c>
      <c r="M39" s="3">
        <f t="shared" si="4"/>
        <v>0</v>
      </c>
      <c r="N39" s="3">
        <f t="shared" si="5"/>
        <v>2</v>
      </c>
      <c r="O39" s="3">
        <f t="shared" si="2"/>
        <v>2</v>
      </c>
      <c r="P39" s="12" t="s">
        <v>124</v>
      </c>
      <c r="Q39" s="12" t="s">
        <v>676</v>
      </c>
      <c r="R39" t="s">
        <v>681</v>
      </c>
      <c r="S39" s="12" t="s">
        <v>9</v>
      </c>
    </row>
    <row r="40" spans="1:19" ht="90" x14ac:dyDescent="0.25">
      <c r="A40" s="3">
        <v>50</v>
      </c>
      <c r="B40" s="18" t="s">
        <v>735</v>
      </c>
      <c r="C40" s="4" t="s">
        <v>736</v>
      </c>
      <c r="D40" s="12" t="s">
        <v>741</v>
      </c>
      <c r="E40" s="13" t="s">
        <v>689</v>
      </c>
      <c r="F40" s="4" t="s">
        <v>688</v>
      </c>
      <c r="G40" s="3" t="s">
        <v>690</v>
      </c>
      <c r="H40" s="3" t="s">
        <v>488</v>
      </c>
      <c r="I40" s="3">
        <f>VLOOKUP(H40,cardsort_group_IDs!A:B,2,0)</f>
        <v>203</v>
      </c>
      <c r="J40" s="3" t="s">
        <v>23</v>
      </c>
      <c r="K40" s="3">
        <f>VLOOKUP(J40,cardsort_subgroup_IDs!A:B,2,0)</f>
        <v>305</v>
      </c>
      <c r="L40" s="3">
        <f t="shared" si="3"/>
        <v>3</v>
      </c>
      <c r="M40" s="3">
        <f t="shared" si="4"/>
        <v>7</v>
      </c>
      <c r="N40" s="3">
        <f t="shared" si="5"/>
        <v>7</v>
      </c>
      <c r="O40" s="3">
        <f t="shared" si="2"/>
        <v>14</v>
      </c>
      <c r="P40" s="12" t="s">
        <v>577</v>
      </c>
      <c r="Q40" s="12" t="s">
        <v>676</v>
      </c>
      <c r="R40" t="s">
        <v>683</v>
      </c>
      <c r="S40" s="12" t="s">
        <v>737</v>
      </c>
    </row>
    <row r="41" spans="1:19" x14ac:dyDescent="0.25">
      <c r="A41" s="3">
        <v>51</v>
      </c>
      <c r="B41" s="18" t="s">
        <v>120</v>
      </c>
      <c r="C41" s="4" t="s">
        <v>9</v>
      </c>
      <c r="D41" s="12" t="s">
        <v>9</v>
      </c>
      <c r="E41" s="13">
        <v>506</v>
      </c>
      <c r="F41" s="4" t="s">
        <v>121</v>
      </c>
      <c r="G41" s="3" t="s">
        <v>687</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2" t="s">
        <v>577</v>
      </c>
      <c r="Q41" s="12" t="s">
        <v>677</v>
      </c>
      <c r="R41" t="s">
        <v>681</v>
      </c>
      <c r="S41" s="12" t="s">
        <v>9</v>
      </c>
    </row>
    <row r="42" spans="1:19" ht="30" x14ac:dyDescent="0.25">
      <c r="A42" s="3">
        <v>54</v>
      </c>
      <c r="B42" s="18" t="s">
        <v>122</v>
      </c>
      <c r="C42" s="4" t="s">
        <v>9</v>
      </c>
      <c r="D42" s="12" t="s">
        <v>9</v>
      </c>
      <c r="E42" s="13">
        <v>506</v>
      </c>
      <c r="F42" s="4" t="s">
        <v>123</v>
      </c>
      <c r="G42" s="3" t="s">
        <v>687</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2" t="s">
        <v>577</v>
      </c>
      <c r="Q42" s="12" t="s">
        <v>677</v>
      </c>
      <c r="R42" t="s">
        <v>681</v>
      </c>
      <c r="S42" s="12" t="s">
        <v>9</v>
      </c>
    </row>
    <row r="43" spans="1:19" ht="135" x14ac:dyDescent="0.25">
      <c r="A43" s="3">
        <v>56</v>
      </c>
      <c r="B43" s="18" t="s">
        <v>124</v>
      </c>
      <c r="C43" s="4" t="s">
        <v>277</v>
      </c>
      <c r="D43" s="12" t="s">
        <v>410</v>
      </c>
      <c r="E43" s="13" t="s">
        <v>509</v>
      </c>
      <c r="F43" s="4" t="s">
        <v>125</v>
      </c>
      <c r="G43" s="3" t="s">
        <v>687</v>
      </c>
      <c r="H43" s="3" t="s">
        <v>488</v>
      </c>
      <c r="I43" s="3">
        <f>VLOOKUP(H43,cardsort_group_IDs!A:B,2,0)</f>
        <v>203</v>
      </c>
      <c r="J43" s="3" t="s">
        <v>93</v>
      </c>
      <c r="K43" s="3">
        <f>VLOOKUP(J43,cardsort_subgroup_IDs!A:B,2,0)</f>
        <v>321</v>
      </c>
      <c r="L43" s="3">
        <f t="shared" si="3"/>
        <v>3</v>
      </c>
      <c r="M43" s="3">
        <f t="shared" si="4"/>
        <v>1</v>
      </c>
      <c r="N43" s="3">
        <f t="shared" si="5"/>
        <v>3</v>
      </c>
      <c r="O43" s="3">
        <f t="shared" si="2"/>
        <v>4</v>
      </c>
      <c r="P43" s="12" t="s">
        <v>577</v>
      </c>
      <c r="Q43" s="12" t="s">
        <v>677</v>
      </c>
      <c r="R43" t="s">
        <v>683</v>
      </c>
      <c r="S43" s="12" t="s">
        <v>9</v>
      </c>
    </row>
    <row r="44" spans="1:19" ht="120" x14ac:dyDescent="0.25">
      <c r="A44" s="3">
        <v>57</v>
      </c>
      <c r="B44" s="23" t="s">
        <v>126</v>
      </c>
      <c r="C44" s="7" t="s">
        <v>9</v>
      </c>
      <c r="D44" s="12" t="s">
        <v>9</v>
      </c>
      <c r="E44" s="13">
        <v>514</v>
      </c>
      <c r="F44" s="4" t="s">
        <v>127</v>
      </c>
      <c r="G44" s="3" t="s">
        <v>687</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2" t="s">
        <v>577</v>
      </c>
      <c r="Q44" s="12" t="s">
        <v>677</v>
      </c>
      <c r="R44" t="s">
        <v>683</v>
      </c>
      <c r="S44" s="12" t="s">
        <v>9</v>
      </c>
    </row>
    <row r="45" spans="1:19" ht="345" x14ac:dyDescent="0.25">
      <c r="A45" s="3">
        <v>58</v>
      </c>
      <c r="B45" s="18" t="s">
        <v>128</v>
      </c>
      <c r="C45" s="4" t="s">
        <v>253</v>
      </c>
      <c r="D45" s="12" t="s">
        <v>549</v>
      </c>
      <c r="E45" s="13" t="s">
        <v>529</v>
      </c>
      <c r="F45" s="4" t="s">
        <v>738</v>
      </c>
      <c r="G45" s="3" t="s">
        <v>686</v>
      </c>
      <c r="H45" s="3" t="s">
        <v>488</v>
      </c>
      <c r="I45" s="3">
        <f>VLOOKUP(H45,cardsort_group_IDs!A:B,2,0)</f>
        <v>203</v>
      </c>
      <c r="J45" s="4" t="s">
        <v>58</v>
      </c>
      <c r="K45" s="3">
        <f>VLOOKUP(J45,cardsort_subgroup_IDs!A:B,2,0)</f>
        <v>313</v>
      </c>
      <c r="L45" s="3">
        <f t="shared" si="3"/>
        <v>3</v>
      </c>
      <c r="M45" s="3">
        <f t="shared" si="4"/>
        <v>1</v>
      </c>
      <c r="N45" s="3">
        <f t="shared" si="5"/>
        <v>3</v>
      </c>
      <c r="O45" s="3">
        <f t="shared" si="2"/>
        <v>4</v>
      </c>
      <c r="P45" s="12" t="s">
        <v>124</v>
      </c>
      <c r="Q45" s="12" t="s">
        <v>676</v>
      </c>
      <c r="R45" t="s">
        <v>681</v>
      </c>
      <c r="S45" s="12" t="s">
        <v>733</v>
      </c>
    </row>
    <row r="46" spans="1:19" x14ac:dyDescent="0.25">
      <c r="A46" s="3">
        <v>59</v>
      </c>
      <c r="B46" s="18" t="s">
        <v>129</v>
      </c>
      <c r="C46" s="4" t="s">
        <v>254</v>
      </c>
      <c r="D46" s="12" t="s">
        <v>9</v>
      </c>
      <c r="E46" s="13" t="s">
        <v>414</v>
      </c>
      <c r="F46" s="4" t="s">
        <v>130</v>
      </c>
      <c r="G46" s="3" t="s">
        <v>687</v>
      </c>
      <c r="H46" s="3" t="s">
        <v>488</v>
      </c>
      <c r="I46" s="3">
        <f>VLOOKUP(H46,cardsort_group_IDs!A:B,2,0)</f>
        <v>203</v>
      </c>
      <c r="J46" s="3" t="s">
        <v>23</v>
      </c>
      <c r="K46" s="3">
        <f>VLOOKUP(J46,cardsort_subgroup_IDs!A:B,2,0)</f>
        <v>305</v>
      </c>
      <c r="L46" s="3">
        <f t="shared" si="3"/>
        <v>1</v>
      </c>
      <c r="M46" s="3">
        <f t="shared" si="4"/>
        <v>0</v>
      </c>
      <c r="N46" s="3">
        <f t="shared" si="5"/>
        <v>4</v>
      </c>
      <c r="O46" s="3">
        <f t="shared" si="2"/>
        <v>4</v>
      </c>
      <c r="P46" s="12" t="s">
        <v>124</v>
      </c>
      <c r="Q46" s="12" t="s">
        <v>676</v>
      </c>
      <c r="R46" t="s">
        <v>683</v>
      </c>
      <c r="S46" s="12" t="s">
        <v>691</v>
      </c>
    </row>
    <row r="47" spans="1:19" ht="90" x14ac:dyDescent="0.25">
      <c r="A47" s="3">
        <v>62</v>
      </c>
      <c r="B47" s="26" t="s">
        <v>772</v>
      </c>
      <c r="C47" s="5" t="s">
        <v>773</v>
      </c>
      <c r="D47" s="13" t="s">
        <v>613</v>
      </c>
      <c r="E47" s="13" t="s">
        <v>701</v>
      </c>
      <c r="F47" s="4" t="s">
        <v>774</v>
      </c>
      <c r="G47" s="3" t="s">
        <v>687</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2" t="s">
        <v>577</v>
      </c>
      <c r="Q47" s="12" t="s">
        <v>677</v>
      </c>
      <c r="R47" t="s">
        <v>682</v>
      </c>
      <c r="S47" s="12" t="s">
        <v>9</v>
      </c>
    </row>
    <row r="48" spans="1:19" ht="90" x14ac:dyDescent="0.25">
      <c r="A48" s="3">
        <v>63</v>
      </c>
      <c r="B48" s="18" t="s">
        <v>132</v>
      </c>
      <c r="C48" s="4" t="s">
        <v>255</v>
      </c>
      <c r="D48" s="12" t="s">
        <v>629</v>
      </c>
      <c r="E48" s="13" t="s">
        <v>427</v>
      </c>
      <c r="F48" s="4" t="s">
        <v>134</v>
      </c>
      <c r="G48" s="3" t="s">
        <v>687</v>
      </c>
      <c r="H48" s="3" t="s">
        <v>33</v>
      </c>
      <c r="I48" s="3">
        <f>VLOOKUP(H48,cardsort_group_IDs!A:B,2,0)</f>
        <v>205</v>
      </c>
      <c r="J48" s="3" t="s">
        <v>38</v>
      </c>
      <c r="K48" s="3">
        <f>VLOOKUP(J48,cardsort_subgroup_IDs!A:B,2,0)</f>
        <v>309</v>
      </c>
      <c r="L48" s="3">
        <f t="shared" si="3"/>
        <v>3</v>
      </c>
      <c r="M48" s="3">
        <f t="shared" si="4"/>
        <v>2</v>
      </c>
      <c r="N48" s="3">
        <f t="shared" si="5"/>
        <v>2</v>
      </c>
      <c r="O48" s="3">
        <f t="shared" si="2"/>
        <v>4</v>
      </c>
      <c r="P48" s="12" t="s">
        <v>124</v>
      </c>
      <c r="Q48" s="12" t="s">
        <v>678</v>
      </c>
      <c r="R48" t="s">
        <v>682</v>
      </c>
      <c r="S48" s="12" t="s">
        <v>9</v>
      </c>
    </row>
    <row r="49" spans="1:19" ht="30" x14ac:dyDescent="0.25">
      <c r="A49" s="3">
        <v>64</v>
      </c>
      <c r="B49" s="18" t="s">
        <v>135</v>
      </c>
      <c r="C49" s="4" t="s">
        <v>9</v>
      </c>
      <c r="D49" s="13">
        <v>201</v>
      </c>
      <c r="E49" s="13" t="s">
        <v>9</v>
      </c>
      <c r="F49" s="4" t="s">
        <v>136</v>
      </c>
      <c r="G49" s="3" t="s">
        <v>687</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2" t="s">
        <v>577</v>
      </c>
      <c r="Q49" s="12" t="s">
        <v>676</v>
      </c>
      <c r="R49" t="s">
        <v>682</v>
      </c>
      <c r="S49" s="12" t="s">
        <v>9</v>
      </c>
    </row>
    <row r="50" spans="1:19" ht="150" x14ac:dyDescent="0.25">
      <c r="A50" s="3">
        <v>65</v>
      </c>
      <c r="B50" s="18" t="s">
        <v>137</v>
      </c>
      <c r="C50" s="4" t="s">
        <v>256</v>
      </c>
      <c r="D50" s="13" t="s">
        <v>614</v>
      </c>
      <c r="E50" s="13" t="s">
        <v>502</v>
      </c>
      <c r="F50" s="4" t="s">
        <v>138</v>
      </c>
      <c r="G50" s="3" t="s">
        <v>687</v>
      </c>
      <c r="H50" s="3" t="s">
        <v>21</v>
      </c>
      <c r="I50" s="3">
        <f>VLOOKUP(H50,cardsort_group_IDs!A:B,2,0)</f>
        <v>202</v>
      </c>
      <c r="J50" s="3" t="s">
        <v>116</v>
      </c>
      <c r="K50" s="3">
        <f>VLOOKUP(J50,cardsort_subgroup_IDs!A:B,2,0)</f>
        <v>325</v>
      </c>
      <c r="L50" s="3">
        <f t="shared" si="3"/>
        <v>3</v>
      </c>
      <c r="M50" s="3">
        <f t="shared" si="4"/>
        <v>7</v>
      </c>
      <c r="N50" s="3">
        <f t="shared" si="5"/>
        <v>9</v>
      </c>
      <c r="O50" s="3">
        <f t="shared" si="2"/>
        <v>16</v>
      </c>
      <c r="P50" s="12" t="s">
        <v>577</v>
      </c>
      <c r="Q50" s="12" t="s">
        <v>677</v>
      </c>
      <c r="R50" t="s">
        <v>682</v>
      </c>
      <c r="S50" s="12" t="s">
        <v>9</v>
      </c>
    </row>
    <row r="51" spans="1:19" ht="120" x14ac:dyDescent="0.25">
      <c r="A51" s="3">
        <v>66</v>
      </c>
      <c r="B51" s="21" t="s">
        <v>139</v>
      </c>
      <c r="C51" s="5" t="s">
        <v>257</v>
      </c>
      <c r="D51" s="12" t="s">
        <v>9</v>
      </c>
      <c r="E51" s="13">
        <v>235</v>
      </c>
      <c r="F51" s="4" t="s">
        <v>140</v>
      </c>
      <c r="G51" s="3" t="s">
        <v>687</v>
      </c>
      <c r="H51" s="3" t="s">
        <v>49</v>
      </c>
      <c r="I51" s="3">
        <f>VLOOKUP(H51,cardsort_group_IDs!A:B,2,0)</f>
        <v>206</v>
      </c>
      <c r="J51" s="3" t="s">
        <v>15</v>
      </c>
      <c r="K51" s="3">
        <f>VLOOKUP(J51,cardsort_subgroup_IDs!A:B,2,0)</f>
        <v>311</v>
      </c>
      <c r="L51" s="3">
        <f t="shared" si="3"/>
        <v>1</v>
      </c>
      <c r="M51" s="3">
        <f t="shared" si="4"/>
        <v>0</v>
      </c>
      <c r="N51" s="3">
        <f t="shared" si="5"/>
        <v>1</v>
      </c>
      <c r="O51" s="3">
        <f t="shared" si="2"/>
        <v>1</v>
      </c>
      <c r="P51" s="12" t="s">
        <v>577</v>
      </c>
      <c r="Q51" s="12" t="s">
        <v>677</v>
      </c>
      <c r="R51" t="s">
        <v>681</v>
      </c>
      <c r="S51" s="12" t="s">
        <v>9</v>
      </c>
    </row>
    <row r="52" spans="1:19" ht="30" x14ac:dyDescent="0.25">
      <c r="A52" s="3">
        <v>67</v>
      </c>
      <c r="B52" s="20" t="s">
        <v>679</v>
      </c>
      <c r="C52" s="4" t="s">
        <v>9</v>
      </c>
      <c r="D52" s="12" t="s">
        <v>410</v>
      </c>
      <c r="E52" s="13" t="s">
        <v>412</v>
      </c>
      <c r="F52" s="4" t="s">
        <v>141</v>
      </c>
      <c r="G52" s="3" t="s">
        <v>687</v>
      </c>
      <c r="H52" s="3" t="s">
        <v>49</v>
      </c>
      <c r="I52" s="3">
        <f>VLOOKUP(H52,cardsort_group_IDs!A:B,2,0)</f>
        <v>206</v>
      </c>
      <c r="J52" s="3" t="s">
        <v>119</v>
      </c>
      <c r="K52" s="3">
        <f>VLOOKUP(J52,cardsort_subgroup_IDs!A:B,2,0)</f>
        <v>326</v>
      </c>
      <c r="L52" s="3">
        <f t="shared" si="3"/>
        <v>3</v>
      </c>
      <c r="M52" s="3">
        <f t="shared" si="4"/>
        <v>1</v>
      </c>
      <c r="N52" s="3">
        <f t="shared" si="5"/>
        <v>2</v>
      </c>
      <c r="O52" s="3">
        <f t="shared" si="2"/>
        <v>3</v>
      </c>
      <c r="P52" s="12" t="s">
        <v>577</v>
      </c>
      <c r="Q52" s="12" t="s">
        <v>677</v>
      </c>
      <c r="R52" t="s">
        <v>681</v>
      </c>
      <c r="S52" s="12" t="s">
        <v>9</v>
      </c>
    </row>
    <row r="53" spans="1:19" x14ac:dyDescent="0.25">
      <c r="A53" s="3">
        <v>69</v>
      </c>
      <c r="B53" s="21" t="s">
        <v>142</v>
      </c>
      <c r="C53" s="5" t="s">
        <v>258</v>
      </c>
      <c r="D53" s="12" t="s">
        <v>402</v>
      </c>
      <c r="E53" s="13" t="s">
        <v>415</v>
      </c>
      <c r="F53" s="4" t="s">
        <v>143</v>
      </c>
      <c r="G53" s="3" t="s">
        <v>687</v>
      </c>
      <c r="H53" s="3" t="s">
        <v>72</v>
      </c>
      <c r="I53" s="3">
        <f>VLOOKUP(H53,cardsort_group_IDs!A:B,2,0)</f>
        <v>208</v>
      </c>
      <c r="J53" s="3" t="s">
        <v>79</v>
      </c>
      <c r="K53" s="3">
        <f>VLOOKUP(J53,cardsort_subgroup_IDs!A:B,2,0)</f>
        <v>318</v>
      </c>
      <c r="L53" s="3">
        <f t="shared" si="3"/>
        <v>3</v>
      </c>
      <c r="M53" s="3">
        <f t="shared" si="4"/>
        <v>1</v>
      </c>
      <c r="N53" s="3">
        <f t="shared" si="5"/>
        <v>2</v>
      </c>
      <c r="O53" s="3">
        <f t="shared" si="2"/>
        <v>3</v>
      </c>
      <c r="P53" s="12" t="s">
        <v>577</v>
      </c>
      <c r="Q53" s="12" t="s">
        <v>677</v>
      </c>
      <c r="R53" t="s">
        <v>682</v>
      </c>
      <c r="S53" s="12" t="s">
        <v>9</v>
      </c>
    </row>
    <row r="54" spans="1:19" ht="90" x14ac:dyDescent="0.25">
      <c r="A54" s="3">
        <v>70</v>
      </c>
      <c r="B54" s="18" t="s">
        <v>144</v>
      </c>
      <c r="C54" s="4" t="s">
        <v>259</v>
      </c>
      <c r="D54" s="12" t="s">
        <v>9</v>
      </c>
      <c r="E54" s="13" t="s">
        <v>260</v>
      </c>
      <c r="F54" s="4" t="s">
        <v>145</v>
      </c>
      <c r="G54" s="3" t="s">
        <v>687</v>
      </c>
      <c r="H54" s="3" t="s">
        <v>33</v>
      </c>
      <c r="I54" s="3">
        <f>VLOOKUP(H54,cardsort_group_IDs!A:B,2,0)</f>
        <v>205</v>
      </c>
      <c r="J54" s="3" t="s">
        <v>38</v>
      </c>
      <c r="K54" s="3">
        <f>VLOOKUP(J54,cardsort_subgroup_IDs!A:B,2,0)</f>
        <v>309</v>
      </c>
      <c r="L54" s="3">
        <f t="shared" si="3"/>
        <v>1</v>
      </c>
      <c r="M54" s="3">
        <f t="shared" si="4"/>
        <v>0</v>
      </c>
      <c r="N54" s="3">
        <f t="shared" si="5"/>
        <v>2</v>
      </c>
      <c r="O54" s="3">
        <f t="shared" si="2"/>
        <v>2</v>
      </c>
      <c r="P54" s="12" t="s">
        <v>577</v>
      </c>
      <c r="Q54" s="12" t="s">
        <v>678</v>
      </c>
      <c r="R54" t="s">
        <v>682</v>
      </c>
      <c r="S54" s="12" t="s">
        <v>9</v>
      </c>
    </row>
    <row r="55" spans="1:19" ht="45" x14ac:dyDescent="0.25">
      <c r="A55" s="3">
        <v>71</v>
      </c>
      <c r="B55" s="18" t="s">
        <v>146</v>
      </c>
      <c r="C55" s="4" t="s">
        <v>9</v>
      </c>
      <c r="D55" s="12" t="s">
        <v>410</v>
      </c>
      <c r="E55" s="13" t="s">
        <v>412</v>
      </c>
      <c r="F55" s="4" t="s">
        <v>147</v>
      </c>
      <c r="G55" s="3" t="s">
        <v>687</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2" t="s">
        <v>577</v>
      </c>
      <c r="Q55" s="12" t="s">
        <v>677</v>
      </c>
      <c r="R55" t="s">
        <v>681</v>
      </c>
      <c r="S55" s="12" t="s">
        <v>9</v>
      </c>
    </row>
    <row r="56" spans="1:19" ht="30" x14ac:dyDescent="0.25">
      <c r="A56" s="3">
        <v>72</v>
      </c>
      <c r="B56" s="20" t="s">
        <v>148</v>
      </c>
      <c r="C56" s="4" t="s">
        <v>9</v>
      </c>
      <c r="D56" s="12" t="s">
        <v>410</v>
      </c>
      <c r="E56" s="13" t="s">
        <v>412</v>
      </c>
      <c r="F56" s="4" t="s">
        <v>149</v>
      </c>
      <c r="G56" s="3" t="s">
        <v>687</v>
      </c>
      <c r="H56" s="3" t="s">
        <v>10</v>
      </c>
      <c r="I56" s="3">
        <f>VLOOKUP(H56,cardsort_group_IDs!A:B,2,0)</f>
        <v>201</v>
      </c>
      <c r="J56" s="3" t="s">
        <v>150</v>
      </c>
      <c r="K56" s="3">
        <f>VLOOKUP(J56,cardsort_subgroup_IDs!A:B,2,0)</f>
        <v>329</v>
      </c>
      <c r="L56" s="3">
        <f t="shared" si="3"/>
        <v>3</v>
      </c>
      <c r="M56" s="3">
        <f t="shared" si="4"/>
        <v>1</v>
      </c>
      <c r="N56" s="3">
        <f t="shared" si="5"/>
        <v>2</v>
      </c>
      <c r="O56" s="3">
        <f t="shared" si="2"/>
        <v>3</v>
      </c>
      <c r="P56" s="12" t="s">
        <v>577</v>
      </c>
      <c r="Q56" s="12" t="s">
        <v>676</v>
      </c>
      <c r="R56" t="s">
        <v>681</v>
      </c>
      <c r="S56" s="12" t="s">
        <v>9</v>
      </c>
    </row>
    <row r="57" spans="1:19" ht="105" x14ac:dyDescent="0.25">
      <c r="A57" s="3">
        <v>73</v>
      </c>
      <c r="B57" s="18" t="s">
        <v>151</v>
      </c>
      <c r="C57" s="4" t="s">
        <v>9</v>
      </c>
      <c r="D57" s="12" t="s">
        <v>410</v>
      </c>
      <c r="E57" s="13" t="s">
        <v>412</v>
      </c>
      <c r="F57" s="4" t="s">
        <v>152</v>
      </c>
      <c r="G57" s="3" t="s">
        <v>687</v>
      </c>
      <c r="H57" s="3" t="s">
        <v>21</v>
      </c>
      <c r="I57" s="3">
        <f>VLOOKUP(H57,cardsort_group_IDs!A:B,2,0)</f>
        <v>202</v>
      </c>
      <c r="J57" s="3" t="s">
        <v>153</v>
      </c>
      <c r="K57" s="3">
        <f>VLOOKUP(J57,cardsort_subgroup_IDs!A:B,2,0)</f>
        <v>304</v>
      </c>
      <c r="L57" s="3">
        <f t="shared" si="3"/>
        <v>3</v>
      </c>
      <c r="M57" s="3">
        <f t="shared" si="4"/>
        <v>1</v>
      </c>
      <c r="N57" s="3">
        <f t="shared" si="5"/>
        <v>2</v>
      </c>
      <c r="O57" s="3">
        <f t="shared" si="2"/>
        <v>3</v>
      </c>
      <c r="P57" s="12" t="s">
        <v>577</v>
      </c>
      <c r="Q57" s="12" t="s">
        <v>677</v>
      </c>
      <c r="R57" t="s">
        <v>681</v>
      </c>
      <c r="S57" s="12" t="s">
        <v>9</v>
      </c>
    </row>
    <row r="58" spans="1:19" ht="75" x14ac:dyDescent="0.25">
      <c r="A58" s="3">
        <v>74</v>
      </c>
      <c r="B58" s="18" t="s">
        <v>154</v>
      </c>
      <c r="C58" s="4" t="s">
        <v>9</v>
      </c>
      <c r="D58" s="12" t="s">
        <v>9</v>
      </c>
      <c r="E58" s="13">
        <v>183</v>
      </c>
      <c r="F58" s="4" t="s">
        <v>155</v>
      </c>
      <c r="G58" s="3" t="s">
        <v>687</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2" t="s">
        <v>577</v>
      </c>
      <c r="Q58" s="12" t="s">
        <v>677</v>
      </c>
      <c r="R58" t="s">
        <v>683</v>
      </c>
      <c r="S58" s="12" t="s">
        <v>9</v>
      </c>
    </row>
    <row r="59" spans="1:19" ht="90" x14ac:dyDescent="0.25">
      <c r="A59" s="3">
        <v>75</v>
      </c>
      <c r="B59" s="18" t="s">
        <v>156</v>
      </c>
      <c r="C59" s="4" t="s">
        <v>9</v>
      </c>
      <c r="D59" s="12" t="s">
        <v>477</v>
      </c>
      <c r="E59" s="13">
        <v>183</v>
      </c>
      <c r="F59" s="4" t="s">
        <v>157</v>
      </c>
      <c r="G59" s="3" t="s">
        <v>687</v>
      </c>
      <c r="H59" s="3" t="s">
        <v>33</v>
      </c>
      <c r="I59" s="3">
        <f>VLOOKUP(H59,cardsort_group_IDs!A:B,2,0)</f>
        <v>205</v>
      </c>
      <c r="J59" s="3" t="s">
        <v>82</v>
      </c>
      <c r="K59" s="3">
        <f>VLOOKUP(J59,cardsort_subgroup_IDs!A:B,2,0)</f>
        <v>319</v>
      </c>
      <c r="L59" s="3">
        <f t="shared" si="3"/>
        <v>3</v>
      </c>
      <c r="M59" s="3">
        <f t="shared" si="4"/>
        <v>1</v>
      </c>
      <c r="N59" s="3">
        <f t="shared" si="5"/>
        <v>1</v>
      </c>
      <c r="O59" s="3">
        <f t="shared" si="2"/>
        <v>2</v>
      </c>
      <c r="P59" s="12" t="s">
        <v>577</v>
      </c>
      <c r="Q59" s="12" t="s">
        <v>677</v>
      </c>
      <c r="R59" t="s">
        <v>683</v>
      </c>
      <c r="S59" s="12" t="s">
        <v>9</v>
      </c>
    </row>
    <row r="60" spans="1:19" ht="45" x14ac:dyDescent="0.25">
      <c r="A60" s="3">
        <v>76</v>
      </c>
      <c r="B60" s="18" t="s">
        <v>158</v>
      </c>
      <c r="C60" s="4" t="s">
        <v>261</v>
      </c>
      <c r="D60" s="12" t="s">
        <v>9</v>
      </c>
      <c r="E60" s="13" t="s">
        <v>702</v>
      </c>
      <c r="F60" s="4" t="s">
        <v>159</v>
      </c>
      <c r="G60" s="3" t="s">
        <v>687</v>
      </c>
      <c r="H60" s="3" t="s">
        <v>10</v>
      </c>
      <c r="I60" s="3">
        <f>VLOOKUP(H60,cardsort_group_IDs!A:B,2,0)</f>
        <v>201</v>
      </c>
      <c r="J60" s="3" t="s">
        <v>114</v>
      </c>
      <c r="K60" s="3">
        <f>VLOOKUP(J60,cardsort_subgroup_IDs!A:B,2,0)</f>
        <v>324</v>
      </c>
      <c r="L60" s="3">
        <f t="shared" si="3"/>
        <v>1</v>
      </c>
      <c r="M60" s="3">
        <f t="shared" si="4"/>
        <v>0</v>
      </c>
      <c r="N60" s="3">
        <f t="shared" si="5"/>
        <v>2</v>
      </c>
      <c r="O60" s="3">
        <f t="shared" si="2"/>
        <v>2</v>
      </c>
      <c r="P60" s="12" t="s">
        <v>577</v>
      </c>
      <c r="Q60" s="12" t="s">
        <v>677</v>
      </c>
      <c r="R60" t="s">
        <v>681</v>
      </c>
      <c r="S60" s="12" t="s">
        <v>9</v>
      </c>
    </row>
    <row r="61" spans="1:19" ht="30" x14ac:dyDescent="0.25">
      <c r="A61" s="3">
        <v>78</v>
      </c>
      <c r="B61" s="18" t="s">
        <v>160</v>
      </c>
      <c r="C61" s="4" t="s">
        <v>161</v>
      </c>
      <c r="D61" s="12" t="s">
        <v>622</v>
      </c>
      <c r="E61" s="13" t="s">
        <v>519</v>
      </c>
      <c r="F61" s="4" t="s">
        <v>162</v>
      </c>
      <c r="G61" s="3" t="s">
        <v>686</v>
      </c>
      <c r="H61" s="3" t="s">
        <v>488</v>
      </c>
      <c r="I61" s="3">
        <f>VLOOKUP(H61,cardsort_group_IDs!A:B,2,0)</f>
        <v>203</v>
      </c>
      <c r="J61" s="4" t="s">
        <v>58</v>
      </c>
      <c r="K61" s="3">
        <f>VLOOKUP(J61,cardsort_subgroup_IDs!A:B,2,0)</f>
        <v>313</v>
      </c>
      <c r="L61" s="3">
        <f t="shared" ref="L61:L108" si="6">IF(E61="-",0,1)+IF(D61="-",0,2)</f>
        <v>3</v>
      </c>
      <c r="M61" s="3">
        <f t="shared" si="4"/>
        <v>6</v>
      </c>
      <c r="N61" s="3">
        <f t="shared" si="5"/>
        <v>5</v>
      </c>
      <c r="O61" s="3">
        <f t="shared" ref="O61:O108" si="7">SUM(M61:N61)</f>
        <v>11</v>
      </c>
      <c r="P61" s="12" t="s">
        <v>124</v>
      </c>
      <c r="Q61" s="12" t="s">
        <v>676</v>
      </c>
      <c r="R61" t="s">
        <v>682</v>
      </c>
      <c r="S61" s="12" t="s">
        <v>9</v>
      </c>
    </row>
    <row r="62" spans="1:19" ht="120" x14ac:dyDescent="0.25">
      <c r="A62" s="3">
        <v>79</v>
      </c>
      <c r="B62" s="18" t="s">
        <v>163</v>
      </c>
      <c r="C62" s="4" t="s">
        <v>9</v>
      </c>
      <c r="D62" s="12" t="s">
        <v>409</v>
      </c>
      <c r="E62" s="13" t="s">
        <v>703</v>
      </c>
      <c r="F62" s="4" t="s">
        <v>164</v>
      </c>
      <c r="G62" s="3" t="s">
        <v>686</v>
      </c>
      <c r="H62" s="3" t="s">
        <v>72</v>
      </c>
      <c r="I62" s="3">
        <f>VLOOKUP(H62,cardsort_group_IDs!A:B,2,0)</f>
        <v>208</v>
      </c>
      <c r="J62" s="3" t="s">
        <v>79</v>
      </c>
      <c r="K62" s="3">
        <f>VLOOKUP(J62,cardsort_subgroup_IDs!A:B,2,0)</f>
        <v>318</v>
      </c>
      <c r="L62" s="3">
        <f t="shared" si="6"/>
        <v>3</v>
      </c>
      <c r="M62" s="3">
        <f t="shared" si="4"/>
        <v>1</v>
      </c>
      <c r="N62" s="3">
        <f t="shared" si="5"/>
        <v>3</v>
      </c>
      <c r="O62" s="3">
        <f t="shared" si="7"/>
        <v>4</v>
      </c>
      <c r="P62" s="12" t="s">
        <v>124</v>
      </c>
      <c r="Q62" s="12" t="s">
        <v>677</v>
      </c>
      <c r="R62" t="s">
        <v>682</v>
      </c>
      <c r="S62" s="12" t="s">
        <v>9</v>
      </c>
    </row>
    <row r="63" spans="1:19" ht="165" x14ac:dyDescent="0.25">
      <c r="A63" s="3">
        <v>80</v>
      </c>
      <c r="B63" s="18" t="s">
        <v>165</v>
      </c>
      <c r="C63" s="4" t="s">
        <v>9</v>
      </c>
      <c r="D63" s="12" t="s">
        <v>9</v>
      </c>
      <c r="E63" s="13">
        <v>514</v>
      </c>
      <c r="F63" s="4" t="s">
        <v>166</v>
      </c>
      <c r="G63" s="3" t="s">
        <v>686</v>
      </c>
      <c r="H63" s="3" t="s">
        <v>72</v>
      </c>
      <c r="I63" s="3">
        <f>VLOOKUP(H63,cardsort_group_IDs!A:B,2,0)</f>
        <v>208</v>
      </c>
      <c r="J63" s="3" t="s">
        <v>33</v>
      </c>
      <c r="K63" s="3">
        <f>VLOOKUP(J63,cardsort_subgroup_IDs!A:B,2,0)</f>
        <v>317</v>
      </c>
      <c r="L63" s="3">
        <f t="shared" si="6"/>
        <v>1</v>
      </c>
      <c r="M63" s="3">
        <f t="shared" ref="M63:M94" si="8">IF(D63="-",0,LEN(D63)-LEN(SUBSTITUTE(D63,";",""))+1)</f>
        <v>0</v>
      </c>
      <c r="N63" s="3">
        <f t="shared" ref="N63:N94" si="9">IF(E63="-",0,LEN(E63)-LEN(SUBSTITUTE(E63,";",""))+1)</f>
        <v>1</v>
      </c>
      <c r="O63" s="3">
        <f t="shared" si="7"/>
        <v>1</v>
      </c>
      <c r="P63" s="12" t="s">
        <v>577</v>
      </c>
      <c r="Q63" s="12" t="s">
        <v>678</v>
      </c>
      <c r="R63" t="s">
        <v>682</v>
      </c>
      <c r="S63" s="12" t="s">
        <v>9</v>
      </c>
    </row>
    <row r="64" spans="1:19" ht="105" x14ac:dyDescent="0.25">
      <c r="A64" s="3">
        <v>81</v>
      </c>
      <c r="B64" s="18" t="s">
        <v>167</v>
      </c>
      <c r="C64" s="4" t="s">
        <v>9</v>
      </c>
      <c r="D64" s="12" t="s">
        <v>404</v>
      </c>
      <c r="E64" s="13">
        <v>202</v>
      </c>
      <c r="F64" s="4" t="s">
        <v>168</v>
      </c>
      <c r="G64" s="3" t="s">
        <v>687</v>
      </c>
      <c r="H64" s="3" t="s">
        <v>33</v>
      </c>
      <c r="I64" s="3">
        <f>VLOOKUP(H64,cardsort_group_IDs!A:B,2,0)</f>
        <v>205</v>
      </c>
      <c r="J64" s="3" t="s">
        <v>82</v>
      </c>
      <c r="K64" s="3">
        <f>VLOOKUP(J64,cardsort_subgroup_IDs!A:B,2,0)</f>
        <v>319</v>
      </c>
      <c r="L64" s="3">
        <f t="shared" si="6"/>
        <v>3</v>
      </c>
      <c r="M64" s="3">
        <f t="shared" si="8"/>
        <v>1</v>
      </c>
      <c r="N64" s="3">
        <f t="shared" si="9"/>
        <v>1</v>
      </c>
      <c r="O64" s="3">
        <f t="shared" si="7"/>
        <v>2</v>
      </c>
      <c r="P64" s="12" t="s">
        <v>577</v>
      </c>
      <c r="Q64" s="12" t="s">
        <v>677</v>
      </c>
      <c r="R64" t="s">
        <v>682</v>
      </c>
      <c r="S64" s="12" t="s">
        <v>9</v>
      </c>
    </row>
    <row r="65" spans="1:19" ht="45" x14ac:dyDescent="0.25">
      <c r="A65" s="3">
        <v>82</v>
      </c>
      <c r="B65" s="18" t="s">
        <v>169</v>
      </c>
      <c r="C65" s="4" t="s">
        <v>9</v>
      </c>
      <c r="D65" s="12" t="s">
        <v>9</v>
      </c>
      <c r="E65" s="13">
        <v>514</v>
      </c>
      <c r="F65" s="4" t="s">
        <v>170</v>
      </c>
      <c r="G65" s="3" t="s">
        <v>687</v>
      </c>
      <c r="H65" s="3" t="s">
        <v>10</v>
      </c>
      <c r="I65" s="3">
        <f>VLOOKUP(H65,cardsort_group_IDs!A:B,2,0)</f>
        <v>201</v>
      </c>
      <c r="J65" s="3" t="s">
        <v>150</v>
      </c>
      <c r="K65" s="3">
        <f>VLOOKUP(J65,cardsort_subgroup_IDs!A:B,2,0)</f>
        <v>329</v>
      </c>
      <c r="L65" s="3">
        <f t="shared" si="6"/>
        <v>1</v>
      </c>
      <c r="M65" s="3">
        <f t="shared" si="8"/>
        <v>0</v>
      </c>
      <c r="N65" s="3">
        <f t="shared" si="9"/>
        <v>1</v>
      </c>
      <c r="O65" s="3">
        <f t="shared" si="7"/>
        <v>1</v>
      </c>
      <c r="P65" s="12" t="s">
        <v>577</v>
      </c>
      <c r="Q65" s="12" t="s">
        <v>677</v>
      </c>
      <c r="R65" t="s">
        <v>681</v>
      </c>
      <c r="S65" s="12" t="s">
        <v>9</v>
      </c>
    </row>
    <row r="66" spans="1:19" ht="75" x14ac:dyDescent="0.25">
      <c r="A66" s="3">
        <v>83</v>
      </c>
      <c r="B66" s="20" t="s">
        <v>171</v>
      </c>
      <c r="C66" s="4" t="s">
        <v>615</v>
      </c>
      <c r="D66" s="12" t="s">
        <v>616</v>
      </c>
      <c r="E66" s="13" t="s">
        <v>702</v>
      </c>
      <c r="F66" s="4" t="s">
        <v>172</v>
      </c>
      <c r="G66" s="3" t="s">
        <v>687</v>
      </c>
      <c r="H66" s="3" t="s">
        <v>488</v>
      </c>
      <c r="I66" s="3">
        <f>VLOOKUP(H66,cardsort_group_IDs!A:B,2,0)</f>
        <v>203</v>
      </c>
      <c r="J66" s="3" t="s">
        <v>131</v>
      </c>
      <c r="K66" s="3">
        <f>VLOOKUP(J66,cardsort_subgroup_IDs!A:B,2,0)</f>
        <v>328</v>
      </c>
      <c r="L66" s="3">
        <f t="shared" si="6"/>
        <v>3</v>
      </c>
      <c r="M66" s="3">
        <f t="shared" si="8"/>
        <v>3</v>
      </c>
      <c r="N66" s="3">
        <f t="shared" si="9"/>
        <v>2</v>
      </c>
      <c r="O66" s="3">
        <f t="shared" si="7"/>
        <v>5</v>
      </c>
      <c r="P66" s="12" t="s">
        <v>124</v>
      </c>
      <c r="Q66" s="12" t="s">
        <v>677</v>
      </c>
      <c r="R66" t="s">
        <v>681</v>
      </c>
      <c r="S66" s="12" t="s">
        <v>9</v>
      </c>
    </row>
    <row r="67" spans="1:19" ht="120" x14ac:dyDescent="0.25">
      <c r="A67" s="3">
        <v>84</v>
      </c>
      <c r="B67" s="18" t="s">
        <v>114</v>
      </c>
      <c r="C67" s="4" t="s">
        <v>9</v>
      </c>
      <c r="D67" s="13" t="s">
        <v>406</v>
      </c>
      <c r="E67" s="13">
        <v>501</v>
      </c>
      <c r="F67" s="4" t="s">
        <v>173</v>
      </c>
      <c r="G67" s="3" t="s">
        <v>687</v>
      </c>
      <c r="H67" s="3" t="s">
        <v>21</v>
      </c>
      <c r="I67" s="3">
        <f>VLOOKUP(H67,cardsort_group_IDs!A:B,2,0)</f>
        <v>202</v>
      </c>
      <c r="J67" s="3" t="s">
        <v>114</v>
      </c>
      <c r="K67" s="3">
        <f>VLOOKUP(J67,cardsort_subgroup_IDs!A:B,2,0)</f>
        <v>324</v>
      </c>
      <c r="L67" s="3">
        <f t="shared" si="6"/>
        <v>3</v>
      </c>
      <c r="M67" s="3">
        <f t="shared" si="8"/>
        <v>1</v>
      </c>
      <c r="N67" s="3">
        <f t="shared" si="9"/>
        <v>1</v>
      </c>
      <c r="O67" s="3">
        <f t="shared" si="7"/>
        <v>2</v>
      </c>
      <c r="P67" s="12" t="s">
        <v>577</v>
      </c>
      <c r="Q67" s="12" t="s">
        <v>677</v>
      </c>
      <c r="R67" t="s">
        <v>681</v>
      </c>
      <c r="S67" s="12" t="s">
        <v>9</v>
      </c>
    </row>
    <row r="68" spans="1:19" ht="60" x14ac:dyDescent="0.25">
      <c r="A68" s="3">
        <v>85</v>
      </c>
      <c r="B68" s="18" t="s">
        <v>174</v>
      </c>
      <c r="C68" s="4" t="s">
        <v>9</v>
      </c>
      <c r="D68" s="12" t="s">
        <v>429</v>
      </c>
      <c r="E68" s="13" t="s">
        <v>9</v>
      </c>
      <c r="F68" s="4" t="s">
        <v>175</v>
      </c>
      <c r="G68" s="3" t="s">
        <v>687</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2" t="s">
        <v>577</v>
      </c>
      <c r="Q68" s="12" t="s">
        <v>676</v>
      </c>
      <c r="R68" t="s">
        <v>682</v>
      </c>
      <c r="S68" s="12" t="s">
        <v>9</v>
      </c>
    </row>
    <row r="69" spans="1:19" ht="135" x14ac:dyDescent="0.25">
      <c r="A69" s="3">
        <v>87</v>
      </c>
      <c r="B69" s="18" t="s">
        <v>176</v>
      </c>
      <c r="C69" s="4" t="s">
        <v>9</v>
      </c>
      <c r="D69" s="12" t="s">
        <v>751</v>
      </c>
      <c r="E69" s="13" t="s">
        <v>508</v>
      </c>
      <c r="F69" s="4" t="s">
        <v>177</v>
      </c>
      <c r="G69" s="3" t="s">
        <v>687</v>
      </c>
      <c r="H69" s="3" t="s">
        <v>15</v>
      </c>
      <c r="I69" s="3">
        <f>VLOOKUP(H69,cardsort_group_IDs!A:B,2,0)</f>
        <v>204</v>
      </c>
      <c r="J69" s="3" t="s">
        <v>26</v>
      </c>
      <c r="K69" s="3">
        <f>VLOOKUP(J69,cardsort_subgroup_IDs!A:B,2,0)</f>
        <v>306</v>
      </c>
      <c r="L69" s="3">
        <f t="shared" si="6"/>
        <v>3</v>
      </c>
      <c r="M69" s="3">
        <f t="shared" si="8"/>
        <v>2</v>
      </c>
      <c r="N69" s="3">
        <f t="shared" si="9"/>
        <v>2</v>
      </c>
      <c r="O69" s="3">
        <f t="shared" si="7"/>
        <v>4</v>
      </c>
      <c r="P69" s="12" t="s">
        <v>577</v>
      </c>
      <c r="Q69" s="12" t="s">
        <v>677</v>
      </c>
      <c r="R69" t="s">
        <v>682</v>
      </c>
      <c r="S69" s="12" t="s">
        <v>9</v>
      </c>
    </row>
    <row r="70" spans="1:19" ht="105" x14ac:dyDescent="0.25">
      <c r="A70" s="3">
        <v>88</v>
      </c>
      <c r="B70" s="18" t="s">
        <v>178</v>
      </c>
      <c r="C70" s="4" t="s">
        <v>278</v>
      </c>
      <c r="D70" s="10" t="s">
        <v>753</v>
      </c>
      <c r="E70" s="13" t="s">
        <v>397</v>
      </c>
      <c r="F70" s="4" t="s">
        <v>179</v>
      </c>
      <c r="G70" s="3" t="s">
        <v>687</v>
      </c>
      <c r="H70" s="3" t="s">
        <v>33</v>
      </c>
      <c r="I70" s="3">
        <f>VLOOKUP(H70,cardsort_group_IDs!A:B,2,0)</f>
        <v>205</v>
      </c>
      <c r="J70" s="3" t="s">
        <v>82</v>
      </c>
      <c r="K70" s="3">
        <f>VLOOKUP(J70,cardsort_subgroup_IDs!A:B,2,0)</f>
        <v>319</v>
      </c>
      <c r="L70" s="3">
        <f t="shared" si="6"/>
        <v>3</v>
      </c>
      <c r="M70" s="3">
        <f t="shared" si="8"/>
        <v>2</v>
      </c>
      <c r="N70" s="3">
        <f t="shared" si="9"/>
        <v>2</v>
      </c>
      <c r="O70" s="3">
        <f t="shared" si="7"/>
        <v>4</v>
      </c>
      <c r="P70" s="12" t="s">
        <v>577</v>
      </c>
      <c r="Q70" s="12" t="s">
        <v>678</v>
      </c>
      <c r="R70" t="s">
        <v>682</v>
      </c>
      <c r="S70" s="12" t="s">
        <v>9</v>
      </c>
    </row>
    <row r="71" spans="1:19" ht="60" x14ac:dyDescent="0.25">
      <c r="A71" s="3">
        <v>89</v>
      </c>
      <c r="B71" s="18" t="s">
        <v>180</v>
      </c>
      <c r="C71" s="4" t="s">
        <v>9</v>
      </c>
      <c r="D71" s="12" t="s">
        <v>754</v>
      </c>
      <c r="E71" s="13" t="s">
        <v>421</v>
      </c>
      <c r="F71" s="4" t="s">
        <v>181</v>
      </c>
      <c r="G71" s="3" t="s">
        <v>687</v>
      </c>
      <c r="H71" s="3" t="s">
        <v>33</v>
      </c>
      <c r="I71" s="3">
        <f>VLOOKUP(H71,cardsort_group_IDs!A:B,2,0)</f>
        <v>205</v>
      </c>
      <c r="J71" s="3" t="s">
        <v>82</v>
      </c>
      <c r="K71" s="3">
        <f>VLOOKUP(J71,cardsort_subgroup_IDs!A:B,2,0)</f>
        <v>319</v>
      </c>
      <c r="L71" s="3">
        <f t="shared" si="6"/>
        <v>3</v>
      </c>
      <c r="M71" s="3">
        <f t="shared" si="8"/>
        <v>3</v>
      </c>
      <c r="N71" s="3">
        <f t="shared" si="9"/>
        <v>2</v>
      </c>
      <c r="O71" s="3">
        <f t="shared" si="7"/>
        <v>5</v>
      </c>
      <c r="P71" s="12" t="s">
        <v>577</v>
      </c>
      <c r="Q71" s="12" t="s">
        <v>677</v>
      </c>
      <c r="R71" t="s">
        <v>682</v>
      </c>
      <c r="S71" s="12" t="s">
        <v>9</v>
      </c>
    </row>
    <row r="72" spans="1:19" ht="105" x14ac:dyDescent="0.25">
      <c r="A72" s="3">
        <v>90</v>
      </c>
      <c r="B72" s="18" t="s">
        <v>182</v>
      </c>
      <c r="C72" s="4" t="s">
        <v>608</v>
      </c>
      <c r="D72" s="12" t="s">
        <v>609</v>
      </c>
      <c r="E72" s="13" t="s">
        <v>638</v>
      </c>
      <c r="F72" s="4" t="s">
        <v>183</v>
      </c>
      <c r="G72" s="3" t="s">
        <v>686</v>
      </c>
      <c r="H72" s="3" t="s">
        <v>33</v>
      </c>
      <c r="I72" s="3">
        <f>VLOOKUP(H72,cardsort_group_IDs!A:B,2,0)</f>
        <v>205</v>
      </c>
      <c r="J72" s="3" t="s">
        <v>82</v>
      </c>
      <c r="K72" s="3">
        <f>VLOOKUP(J72,cardsort_subgroup_IDs!A:B,2,0)</f>
        <v>319</v>
      </c>
      <c r="L72" s="3">
        <f t="shared" si="6"/>
        <v>3</v>
      </c>
      <c r="M72" s="3">
        <f t="shared" si="8"/>
        <v>4</v>
      </c>
      <c r="N72" s="3">
        <f t="shared" si="9"/>
        <v>10</v>
      </c>
      <c r="O72" s="3">
        <f t="shared" si="7"/>
        <v>14</v>
      </c>
      <c r="P72" s="12" t="s">
        <v>124</v>
      </c>
      <c r="Q72" s="12" t="s">
        <v>678</v>
      </c>
      <c r="R72" t="s">
        <v>683</v>
      </c>
      <c r="S72" s="12" t="s">
        <v>9</v>
      </c>
    </row>
    <row r="73" spans="1:19" ht="75" x14ac:dyDescent="0.25">
      <c r="A73" s="3">
        <v>91</v>
      </c>
      <c r="B73" s="18" t="s">
        <v>184</v>
      </c>
      <c r="C73" s="4" t="s">
        <v>262</v>
      </c>
      <c r="D73" s="12" t="s">
        <v>405</v>
      </c>
      <c r="E73" s="13" t="s">
        <v>505</v>
      </c>
      <c r="F73" s="4" t="s">
        <v>185</v>
      </c>
      <c r="G73" s="3" t="s">
        <v>686</v>
      </c>
      <c r="H73" s="3" t="s">
        <v>15</v>
      </c>
      <c r="I73" s="3">
        <f>VLOOKUP(H73,cardsort_group_IDs!A:B,2,0)</f>
        <v>204</v>
      </c>
      <c r="J73" s="3" t="s">
        <v>88</v>
      </c>
      <c r="K73" s="3">
        <f>VLOOKUP(J73,cardsort_subgroup_IDs!A:B,2,0)</f>
        <v>320</v>
      </c>
      <c r="L73" s="3">
        <f t="shared" si="6"/>
        <v>3</v>
      </c>
      <c r="M73" s="3">
        <f t="shared" si="8"/>
        <v>1</v>
      </c>
      <c r="N73" s="3">
        <f t="shared" si="9"/>
        <v>3</v>
      </c>
      <c r="O73" s="3">
        <f t="shared" si="7"/>
        <v>4</v>
      </c>
      <c r="P73" s="12" t="s">
        <v>577</v>
      </c>
      <c r="Q73" s="12" t="s">
        <v>678</v>
      </c>
      <c r="R73" t="s">
        <v>681</v>
      </c>
      <c r="S73" s="12" t="s">
        <v>9</v>
      </c>
    </row>
    <row r="74" spans="1:19" ht="30" x14ac:dyDescent="0.25">
      <c r="A74" s="3">
        <v>92</v>
      </c>
      <c r="B74" s="20" t="s">
        <v>186</v>
      </c>
      <c r="C74" s="4" t="s">
        <v>9</v>
      </c>
      <c r="D74" s="12" t="s">
        <v>410</v>
      </c>
      <c r="E74" s="13" t="s">
        <v>412</v>
      </c>
      <c r="F74" s="5" t="s">
        <v>187</v>
      </c>
      <c r="G74" s="3" t="s">
        <v>686</v>
      </c>
      <c r="H74" s="3" t="s">
        <v>49</v>
      </c>
      <c r="I74" s="3">
        <f>VLOOKUP(H74,cardsort_group_IDs!A:B,2,0)</f>
        <v>206</v>
      </c>
      <c r="J74" s="3" t="s">
        <v>119</v>
      </c>
      <c r="K74" s="3">
        <f>VLOOKUP(J74,cardsort_subgroup_IDs!A:B,2,0)</f>
        <v>326</v>
      </c>
      <c r="L74" s="3">
        <f t="shared" si="6"/>
        <v>3</v>
      </c>
      <c r="M74" s="3">
        <f t="shared" si="8"/>
        <v>1</v>
      </c>
      <c r="N74" s="3">
        <f t="shared" si="9"/>
        <v>2</v>
      </c>
      <c r="O74" s="3">
        <f t="shared" si="7"/>
        <v>3</v>
      </c>
      <c r="P74" s="12" t="s">
        <v>577</v>
      </c>
      <c r="Q74" s="12" t="s">
        <v>678</v>
      </c>
      <c r="R74" t="s">
        <v>681</v>
      </c>
      <c r="S74" s="12" t="s">
        <v>9</v>
      </c>
    </row>
    <row r="75" spans="1:19" ht="45" x14ac:dyDescent="0.25">
      <c r="A75" s="3">
        <v>93</v>
      </c>
      <c r="B75" s="21" t="s">
        <v>188</v>
      </c>
      <c r="C75" s="5" t="s">
        <v>9</v>
      </c>
      <c r="D75" s="12" t="s">
        <v>9</v>
      </c>
      <c r="E75" s="13">
        <v>514</v>
      </c>
      <c r="F75" s="4" t="s">
        <v>189</v>
      </c>
      <c r="G75" s="3" t="s">
        <v>687</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2" t="s">
        <v>577</v>
      </c>
      <c r="Q75" s="12" t="s">
        <v>677</v>
      </c>
      <c r="R75" t="s">
        <v>682</v>
      </c>
      <c r="S75" s="12" t="s">
        <v>9</v>
      </c>
    </row>
    <row r="76" spans="1:19" x14ac:dyDescent="0.25">
      <c r="A76" s="3">
        <v>94</v>
      </c>
      <c r="B76" s="18" t="s">
        <v>190</v>
      </c>
      <c r="C76" s="4" t="s">
        <v>263</v>
      </c>
      <c r="D76" s="12" t="s">
        <v>423</v>
      </c>
      <c r="E76" s="13" t="s">
        <v>422</v>
      </c>
      <c r="F76" s="4" t="s">
        <v>191</v>
      </c>
      <c r="G76" s="3" t="s">
        <v>687</v>
      </c>
      <c r="H76" s="3" t="s">
        <v>72</v>
      </c>
      <c r="I76" s="3">
        <f>VLOOKUP(H76,cardsort_group_IDs!A:B,2,0)</f>
        <v>208</v>
      </c>
      <c r="J76" s="3" t="s">
        <v>79</v>
      </c>
      <c r="K76" s="3">
        <f>VLOOKUP(J76,cardsort_subgroup_IDs!A:B,2,0)</f>
        <v>318</v>
      </c>
      <c r="L76" s="3">
        <f t="shared" si="6"/>
        <v>3</v>
      </c>
      <c r="M76" s="3">
        <f t="shared" si="8"/>
        <v>2</v>
      </c>
      <c r="N76" s="3">
        <f t="shared" si="9"/>
        <v>2</v>
      </c>
      <c r="O76" s="3">
        <f t="shared" si="7"/>
        <v>4</v>
      </c>
      <c r="P76" s="12" t="s">
        <v>577</v>
      </c>
      <c r="Q76" s="12" t="s">
        <v>677</v>
      </c>
      <c r="R76" t="s">
        <v>682</v>
      </c>
      <c r="S76" s="12" t="s">
        <v>9</v>
      </c>
    </row>
    <row r="77" spans="1:19" ht="45" x14ac:dyDescent="0.25">
      <c r="A77" s="3">
        <v>95</v>
      </c>
      <c r="B77" s="18" t="s">
        <v>192</v>
      </c>
      <c r="C77" s="4" t="s">
        <v>193</v>
      </c>
      <c r="D77" s="13" t="s">
        <v>406</v>
      </c>
      <c r="E77" s="13" t="s">
        <v>534</v>
      </c>
      <c r="F77" s="4" t="s">
        <v>194</v>
      </c>
      <c r="G77" s="3" t="s">
        <v>687</v>
      </c>
      <c r="H77" s="3" t="s">
        <v>21</v>
      </c>
      <c r="I77" s="3">
        <f>VLOOKUP(H77,cardsort_group_IDs!A:B,2,0)</f>
        <v>202</v>
      </c>
      <c r="J77" s="3" t="s">
        <v>153</v>
      </c>
      <c r="K77" s="3">
        <f>VLOOKUP(J77,cardsort_subgroup_IDs!A:B,2,0)</f>
        <v>304</v>
      </c>
      <c r="L77" s="3">
        <f t="shared" si="6"/>
        <v>3</v>
      </c>
      <c r="M77" s="3">
        <f t="shared" si="8"/>
        <v>1</v>
      </c>
      <c r="N77" s="3">
        <f t="shared" si="9"/>
        <v>2</v>
      </c>
      <c r="O77" s="3">
        <f t="shared" si="7"/>
        <v>3</v>
      </c>
      <c r="P77" s="12" t="s">
        <v>577</v>
      </c>
      <c r="Q77" s="12" t="s">
        <v>678</v>
      </c>
      <c r="R77" t="s">
        <v>681</v>
      </c>
      <c r="S77" s="12" t="s">
        <v>9</v>
      </c>
    </row>
    <row r="78" spans="1:19" ht="30" x14ac:dyDescent="0.25">
      <c r="A78" s="3">
        <v>97</v>
      </c>
      <c r="B78" s="18" t="s">
        <v>195</v>
      </c>
      <c r="C78" s="4" t="s">
        <v>9</v>
      </c>
      <c r="D78" s="12" t="s">
        <v>9</v>
      </c>
      <c r="E78" s="13">
        <v>508</v>
      </c>
      <c r="F78" s="4" t="s">
        <v>196</v>
      </c>
      <c r="G78" s="3" t="s">
        <v>687</v>
      </c>
      <c r="H78" s="3" t="s">
        <v>21</v>
      </c>
      <c r="I78" s="3">
        <f>VLOOKUP(H78,cardsort_group_IDs!A:B,2,0)</f>
        <v>202</v>
      </c>
      <c r="J78" s="3" t="s">
        <v>114</v>
      </c>
      <c r="K78" s="3">
        <f>VLOOKUP(J78,cardsort_subgroup_IDs!A:B,2,0)</f>
        <v>324</v>
      </c>
      <c r="L78" s="3">
        <f t="shared" si="6"/>
        <v>1</v>
      </c>
      <c r="M78" s="3">
        <f t="shared" si="8"/>
        <v>0</v>
      </c>
      <c r="N78" s="3">
        <f t="shared" si="9"/>
        <v>1</v>
      </c>
      <c r="O78" s="3">
        <f t="shared" si="7"/>
        <v>1</v>
      </c>
      <c r="P78" s="12" t="s">
        <v>577</v>
      </c>
      <c r="Q78" s="12" t="s">
        <v>678</v>
      </c>
      <c r="R78" t="s">
        <v>682</v>
      </c>
      <c r="S78" s="12" t="s">
        <v>9</v>
      </c>
    </row>
    <row r="79" spans="1:19" ht="30" x14ac:dyDescent="0.25">
      <c r="A79" s="3">
        <v>98</v>
      </c>
      <c r="B79" s="18" t="s">
        <v>197</v>
      </c>
      <c r="C79" s="4" t="s">
        <v>264</v>
      </c>
      <c r="D79" s="10">
        <v>209</v>
      </c>
      <c r="E79" s="13">
        <v>506</v>
      </c>
      <c r="F79" s="4" t="s">
        <v>198</v>
      </c>
      <c r="G79" s="3" t="s">
        <v>687</v>
      </c>
      <c r="H79" s="3" t="s">
        <v>10</v>
      </c>
      <c r="I79" s="3">
        <f>VLOOKUP(H79,cardsort_group_IDs!A:B,2,0)</f>
        <v>201</v>
      </c>
      <c r="J79" s="3" t="s">
        <v>150</v>
      </c>
      <c r="K79" s="3">
        <f>VLOOKUP(J79,cardsort_subgroup_IDs!A:B,2,0)</f>
        <v>329</v>
      </c>
      <c r="L79" s="3">
        <f t="shared" si="6"/>
        <v>3</v>
      </c>
      <c r="M79" s="3">
        <f t="shared" si="8"/>
        <v>1</v>
      </c>
      <c r="N79" s="3">
        <f t="shared" si="9"/>
        <v>1</v>
      </c>
      <c r="O79" s="3">
        <f t="shared" si="7"/>
        <v>2</v>
      </c>
      <c r="P79" s="12" t="s">
        <v>577</v>
      </c>
      <c r="Q79" s="12" t="s">
        <v>677</v>
      </c>
      <c r="R79" t="s">
        <v>682</v>
      </c>
      <c r="S79" s="12" t="s">
        <v>9</v>
      </c>
    </row>
    <row r="80" spans="1:19" x14ac:dyDescent="0.25">
      <c r="A80" s="3">
        <v>99</v>
      </c>
      <c r="B80" s="18" t="s">
        <v>199</v>
      </c>
      <c r="C80" s="4" t="s">
        <v>9</v>
      </c>
      <c r="D80" s="12" t="s">
        <v>9</v>
      </c>
      <c r="E80" s="13">
        <v>508</v>
      </c>
      <c r="F80" s="4" t="s">
        <v>200</v>
      </c>
      <c r="G80" s="3" t="s">
        <v>687</v>
      </c>
      <c r="H80" s="3" t="s">
        <v>10</v>
      </c>
      <c r="I80" s="3">
        <f>VLOOKUP(H80,cardsort_group_IDs!A:B,2,0)</f>
        <v>201</v>
      </c>
      <c r="J80" s="3" t="s">
        <v>114</v>
      </c>
      <c r="K80" s="3">
        <f>VLOOKUP(J80,cardsort_subgroup_IDs!A:B,2,0)</f>
        <v>324</v>
      </c>
      <c r="L80" s="3">
        <f t="shared" si="6"/>
        <v>1</v>
      </c>
      <c r="M80" s="3">
        <f t="shared" si="8"/>
        <v>0</v>
      </c>
      <c r="N80" s="3">
        <f t="shared" si="9"/>
        <v>1</v>
      </c>
      <c r="O80" s="3">
        <f t="shared" si="7"/>
        <v>1</v>
      </c>
      <c r="P80" s="12" t="s">
        <v>577</v>
      </c>
      <c r="Q80" s="12" t="s">
        <v>677</v>
      </c>
      <c r="R80" t="s">
        <v>682</v>
      </c>
      <c r="S80" s="12" t="s">
        <v>9</v>
      </c>
    </row>
    <row r="81" spans="1:19" ht="30" x14ac:dyDescent="0.25">
      <c r="A81" s="3">
        <v>100</v>
      </c>
      <c r="B81" s="18" t="s">
        <v>201</v>
      </c>
      <c r="C81" s="4" t="s">
        <v>9</v>
      </c>
      <c r="D81" s="12" t="s">
        <v>9</v>
      </c>
      <c r="E81" s="13">
        <v>514</v>
      </c>
      <c r="F81" s="4" t="s">
        <v>202</v>
      </c>
      <c r="G81" s="3" t="s">
        <v>687</v>
      </c>
      <c r="H81" s="3" t="s">
        <v>10</v>
      </c>
      <c r="I81" s="3">
        <f>VLOOKUP(H81,cardsort_group_IDs!A:B,2,0)</f>
        <v>201</v>
      </c>
      <c r="J81" s="3" t="s">
        <v>114</v>
      </c>
      <c r="K81" s="3">
        <f>VLOOKUP(J81,cardsort_subgroup_IDs!A:B,2,0)</f>
        <v>324</v>
      </c>
      <c r="L81" s="3">
        <f t="shared" si="6"/>
        <v>1</v>
      </c>
      <c r="M81" s="3">
        <f t="shared" si="8"/>
        <v>0</v>
      </c>
      <c r="N81" s="3">
        <f t="shared" si="9"/>
        <v>1</v>
      </c>
      <c r="O81" s="3">
        <f t="shared" si="7"/>
        <v>1</v>
      </c>
      <c r="P81" s="12" t="s">
        <v>577</v>
      </c>
      <c r="Q81" s="12" t="s">
        <v>677</v>
      </c>
      <c r="R81" t="s">
        <v>682</v>
      </c>
      <c r="S81" s="12" t="s">
        <v>9</v>
      </c>
    </row>
    <row r="82" spans="1:19" ht="30" x14ac:dyDescent="0.25">
      <c r="A82" s="3">
        <v>102</v>
      </c>
      <c r="B82" s="18" t="s">
        <v>203</v>
      </c>
      <c r="C82" s="4" t="s">
        <v>9</v>
      </c>
      <c r="D82" s="12" t="s">
        <v>405</v>
      </c>
      <c r="E82" s="13">
        <v>501</v>
      </c>
      <c r="F82" s="4" t="s">
        <v>205</v>
      </c>
      <c r="G82" s="3" t="s">
        <v>687</v>
      </c>
      <c r="H82" s="3" t="s">
        <v>15</v>
      </c>
      <c r="I82" s="3">
        <f>VLOOKUP(H82,cardsort_group_IDs!A:B,2,0)</f>
        <v>204</v>
      </c>
      <c r="J82" s="3" t="s">
        <v>88</v>
      </c>
      <c r="K82" s="3">
        <f>VLOOKUP(J82,cardsort_subgroup_IDs!A:B,2,0)</f>
        <v>320</v>
      </c>
      <c r="L82" s="3">
        <f t="shared" si="6"/>
        <v>3</v>
      </c>
      <c r="M82" s="3">
        <f t="shared" si="8"/>
        <v>1</v>
      </c>
      <c r="N82" s="3">
        <f t="shared" si="9"/>
        <v>1</v>
      </c>
      <c r="O82" s="3">
        <f t="shared" si="7"/>
        <v>2</v>
      </c>
      <c r="P82" s="12" t="s">
        <v>577</v>
      </c>
      <c r="Q82" s="12" t="s">
        <v>676</v>
      </c>
      <c r="R82" t="s">
        <v>681</v>
      </c>
      <c r="S82" s="12" t="s">
        <v>9</v>
      </c>
    </row>
    <row r="83" spans="1:19" ht="105" x14ac:dyDescent="0.25">
      <c r="A83" s="3">
        <v>104</v>
      </c>
      <c r="B83" s="18" t="s">
        <v>206</v>
      </c>
      <c r="C83" s="4" t="s">
        <v>207</v>
      </c>
      <c r="D83" s="12" t="s">
        <v>408</v>
      </c>
      <c r="E83" s="13" t="s">
        <v>9</v>
      </c>
      <c r="F83" s="4" t="s">
        <v>208</v>
      </c>
      <c r="G83" s="3" t="s">
        <v>686</v>
      </c>
      <c r="H83" s="3" t="s">
        <v>488</v>
      </c>
      <c r="I83" s="3">
        <f>VLOOKUP(H83,cardsort_group_IDs!A:B,2,0)</f>
        <v>203</v>
      </c>
      <c r="J83" s="3" t="s">
        <v>96</v>
      </c>
      <c r="K83" s="3">
        <f>VLOOKUP(J83,cardsort_subgroup_IDs!A:B,2,0)</f>
        <v>322</v>
      </c>
      <c r="L83" s="3">
        <f t="shared" si="6"/>
        <v>2</v>
      </c>
      <c r="M83" s="3">
        <f t="shared" si="8"/>
        <v>2</v>
      </c>
      <c r="N83" s="3">
        <f t="shared" si="9"/>
        <v>0</v>
      </c>
      <c r="O83" s="3">
        <f t="shared" si="7"/>
        <v>2</v>
      </c>
      <c r="P83" s="12" t="s">
        <v>577</v>
      </c>
      <c r="Q83" s="12" t="s">
        <v>676</v>
      </c>
      <c r="R83" t="s">
        <v>681</v>
      </c>
      <c r="S83" s="12" t="s">
        <v>9</v>
      </c>
    </row>
    <row r="84" spans="1:19" ht="30" x14ac:dyDescent="0.25">
      <c r="A84" s="3">
        <v>105</v>
      </c>
      <c r="B84" s="20" t="s">
        <v>762</v>
      </c>
      <c r="C84" s="4" t="s">
        <v>265</v>
      </c>
      <c r="D84" s="13" t="s">
        <v>506</v>
      </c>
      <c r="E84" s="13" t="s">
        <v>507</v>
      </c>
      <c r="F84" s="4" t="s">
        <v>209</v>
      </c>
      <c r="G84" s="3" t="s">
        <v>687</v>
      </c>
      <c r="H84" s="3" t="s">
        <v>21</v>
      </c>
      <c r="I84" s="3">
        <f>VLOOKUP(H84,cardsort_group_IDs!A:B,2,0)</f>
        <v>202</v>
      </c>
      <c r="J84" s="3" t="s">
        <v>114</v>
      </c>
      <c r="K84" s="3">
        <f>VLOOKUP(J84,cardsort_subgroup_IDs!A:B,2,0)</f>
        <v>324</v>
      </c>
      <c r="L84" s="3">
        <f t="shared" si="6"/>
        <v>3</v>
      </c>
      <c r="M84" s="3">
        <f t="shared" si="8"/>
        <v>2</v>
      </c>
      <c r="N84" s="3">
        <f t="shared" si="9"/>
        <v>2</v>
      </c>
      <c r="O84" s="3">
        <f t="shared" si="7"/>
        <v>4</v>
      </c>
      <c r="P84" s="12" t="s">
        <v>577</v>
      </c>
      <c r="Q84" s="12" t="s">
        <v>678</v>
      </c>
      <c r="R84" t="s">
        <v>682</v>
      </c>
      <c r="S84" s="12" t="s">
        <v>9</v>
      </c>
    </row>
    <row r="85" spans="1:19" ht="180" x14ac:dyDescent="0.25">
      <c r="A85" s="3">
        <v>107</v>
      </c>
      <c r="B85" s="18" t="s">
        <v>210</v>
      </c>
      <c r="C85" s="4" t="s">
        <v>9</v>
      </c>
      <c r="D85" s="12" t="s">
        <v>494</v>
      </c>
      <c r="E85" s="13" t="s">
        <v>495</v>
      </c>
      <c r="F85" s="4" t="s">
        <v>211</v>
      </c>
      <c r="G85" s="3" t="s">
        <v>687</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2" t="s">
        <v>577</v>
      </c>
      <c r="Q85" s="12" t="s">
        <v>677</v>
      </c>
      <c r="R85" t="s">
        <v>681</v>
      </c>
      <c r="S85" s="12" t="s">
        <v>9</v>
      </c>
    </row>
    <row r="86" spans="1:19" ht="45" x14ac:dyDescent="0.25">
      <c r="A86" s="3">
        <v>108</v>
      </c>
      <c r="B86" s="18" t="s">
        <v>760</v>
      </c>
      <c r="C86" s="4" t="s">
        <v>761</v>
      </c>
      <c r="D86" s="12" t="s">
        <v>513</v>
      </c>
      <c r="E86" s="13" t="s">
        <v>514</v>
      </c>
      <c r="F86" s="4" t="s">
        <v>212</v>
      </c>
      <c r="G86" s="3" t="s">
        <v>687</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2" t="s">
        <v>577</v>
      </c>
      <c r="Q86" s="12" t="s">
        <v>677</v>
      </c>
      <c r="R86" t="s">
        <v>682</v>
      </c>
      <c r="S86" s="12" t="s">
        <v>9</v>
      </c>
    </row>
    <row r="87" spans="1:19" ht="75" x14ac:dyDescent="0.25">
      <c r="A87" s="3">
        <v>109</v>
      </c>
      <c r="B87" s="18" t="s">
        <v>213</v>
      </c>
      <c r="C87" s="4" t="s">
        <v>523</v>
      </c>
      <c r="D87" s="13" t="s">
        <v>524</v>
      </c>
      <c r="E87" s="13" t="s">
        <v>424</v>
      </c>
      <c r="F87" s="4" t="s">
        <v>214</v>
      </c>
      <c r="G87" s="3" t="s">
        <v>687</v>
      </c>
      <c r="H87" s="3" t="s">
        <v>21</v>
      </c>
      <c r="I87" s="3">
        <f>VLOOKUP(H87,cardsort_group_IDs!A:B,2,0)</f>
        <v>202</v>
      </c>
      <c r="J87" s="3" t="s">
        <v>153</v>
      </c>
      <c r="K87" s="3">
        <f>VLOOKUP(J87,cardsort_subgroup_IDs!A:B,2,0)</f>
        <v>304</v>
      </c>
      <c r="L87" s="3">
        <f t="shared" si="6"/>
        <v>3</v>
      </c>
      <c r="M87" s="3">
        <f t="shared" si="8"/>
        <v>5</v>
      </c>
      <c r="N87" s="3">
        <f t="shared" si="9"/>
        <v>3</v>
      </c>
      <c r="O87" s="3">
        <f t="shared" si="7"/>
        <v>8</v>
      </c>
      <c r="P87" s="12" t="s">
        <v>577</v>
      </c>
      <c r="Q87" s="12" t="s">
        <v>678</v>
      </c>
      <c r="R87" t="s">
        <v>682</v>
      </c>
      <c r="S87" s="12" t="s">
        <v>9</v>
      </c>
    </row>
    <row r="88" spans="1:19" ht="105" x14ac:dyDescent="0.25">
      <c r="A88" s="3">
        <v>112</v>
      </c>
      <c r="B88" s="18" t="s">
        <v>215</v>
      </c>
      <c r="C88" s="4" t="s">
        <v>653</v>
      </c>
      <c r="D88" s="12" t="s">
        <v>9</v>
      </c>
      <c r="E88" s="13" t="s">
        <v>652</v>
      </c>
      <c r="F88" s="5" t="s">
        <v>216</v>
      </c>
      <c r="G88" s="3" t="s">
        <v>686</v>
      </c>
      <c r="H88" s="3" t="s">
        <v>488</v>
      </c>
      <c r="I88" s="3">
        <f>VLOOKUP(H88,cardsort_group_IDs!A:B,2,0)</f>
        <v>203</v>
      </c>
      <c r="J88" s="3" t="s">
        <v>131</v>
      </c>
      <c r="K88" s="3">
        <f>VLOOKUP(J88,cardsort_subgroup_IDs!A:B,2,0)</f>
        <v>328</v>
      </c>
      <c r="L88" s="3">
        <f t="shared" si="6"/>
        <v>1</v>
      </c>
      <c r="M88" s="3">
        <f t="shared" si="8"/>
        <v>0</v>
      </c>
      <c r="N88" s="3">
        <f t="shared" si="9"/>
        <v>2</v>
      </c>
      <c r="O88" s="3">
        <f t="shared" si="7"/>
        <v>2</v>
      </c>
      <c r="P88" s="12" t="s">
        <v>124</v>
      </c>
      <c r="Q88" s="12" t="s">
        <v>677</v>
      </c>
      <c r="R88" t="s">
        <v>683</v>
      </c>
      <c r="S88" s="12" t="s">
        <v>9</v>
      </c>
    </row>
    <row r="89" spans="1:19" ht="135" x14ac:dyDescent="0.25">
      <c r="A89" s="3">
        <v>114</v>
      </c>
      <c r="B89" s="18" t="s">
        <v>218</v>
      </c>
      <c r="C89" s="4" t="s">
        <v>279</v>
      </c>
      <c r="D89" s="10" t="s">
        <v>512</v>
      </c>
      <c r="E89" s="13" t="s">
        <v>646</v>
      </c>
      <c r="F89" s="4" t="s">
        <v>219</v>
      </c>
      <c r="G89" s="3" t="s">
        <v>687</v>
      </c>
      <c r="H89" s="3" t="s">
        <v>54</v>
      </c>
      <c r="I89" s="3">
        <f>VLOOKUP(H89,cardsort_group_IDs!A:B,2,0)</f>
        <v>207</v>
      </c>
      <c r="J89" s="3" t="s">
        <v>55</v>
      </c>
      <c r="K89" s="3">
        <f>VLOOKUP(J89,cardsort_subgroup_IDs!A:B,2,0)</f>
        <v>312</v>
      </c>
      <c r="L89" s="3">
        <f t="shared" si="6"/>
        <v>3</v>
      </c>
      <c r="M89" s="3">
        <f t="shared" si="8"/>
        <v>1</v>
      </c>
      <c r="N89" s="3">
        <f t="shared" si="9"/>
        <v>13</v>
      </c>
      <c r="O89" s="3">
        <f t="shared" si="7"/>
        <v>14</v>
      </c>
      <c r="P89" s="12" t="s">
        <v>124</v>
      </c>
      <c r="Q89" s="12" t="s">
        <v>677</v>
      </c>
      <c r="R89" t="s">
        <v>682</v>
      </c>
      <c r="S89" s="12" t="s">
        <v>9</v>
      </c>
    </row>
    <row r="90" spans="1:19" ht="30" x14ac:dyDescent="0.25">
      <c r="A90" s="3">
        <v>115</v>
      </c>
      <c r="B90" s="18" t="s">
        <v>220</v>
      </c>
      <c r="C90" s="4" t="s">
        <v>9</v>
      </c>
      <c r="D90" s="12" t="s">
        <v>9</v>
      </c>
      <c r="E90" s="13">
        <v>183</v>
      </c>
      <c r="F90" s="4" t="s">
        <v>221</v>
      </c>
      <c r="G90" s="3" t="s">
        <v>687</v>
      </c>
      <c r="H90" s="3" t="s">
        <v>49</v>
      </c>
      <c r="I90" s="3">
        <f>VLOOKUP(H90,cardsort_group_IDs!A:B,2,0)</f>
        <v>206</v>
      </c>
      <c r="J90" s="3" t="s">
        <v>119</v>
      </c>
      <c r="K90" s="3">
        <f>VLOOKUP(J90,cardsort_subgroup_IDs!A:B,2,0)</f>
        <v>326</v>
      </c>
      <c r="L90" s="3">
        <f t="shared" si="6"/>
        <v>1</v>
      </c>
      <c r="M90" s="3">
        <f t="shared" si="8"/>
        <v>0</v>
      </c>
      <c r="N90" s="3">
        <f t="shared" si="9"/>
        <v>1</v>
      </c>
      <c r="O90" s="3">
        <f t="shared" si="7"/>
        <v>1</v>
      </c>
      <c r="P90" s="12" t="s">
        <v>577</v>
      </c>
      <c r="Q90" s="12" t="s">
        <v>677</v>
      </c>
      <c r="R90" t="s">
        <v>681</v>
      </c>
      <c r="S90" s="12" t="s">
        <v>9</v>
      </c>
    </row>
    <row r="91" spans="1:19" ht="75" x14ac:dyDescent="0.25">
      <c r="A91" s="3">
        <v>116</v>
      </c>
      <c r="B91" s="18" t="s">
        <v>222</v>
      </c>
      <c r="C91" s="4" t="s">
        <v>748</v>
      </c>
      <c r="D91" s="12" t="s">
        <v>747</v>
      </c>
      <c r="E91" s="13" t="s">
        <v>425</v>
      </c>
      <c r="F91" s="4" t="s">
        <v>223</v>
      </c>
      <c r="G91" s="3" t="s">
        <v>686</v>
      </c>
      <c r="H91" s="3" t="s">
        <v>33</v>
      </c>
      <c r="I91" s="3">
        <f>VLOOKUP(H91,cardsort_group_IDs!A:B,2,0)</f>
        <v>205</v>
      </c>
      <c r="J91" s="3" t="s">
        <v>224</v>
      </c>
      <c r="K91" s="3">
        <f>VLOOKUP(J91,cardsort_subgroup_IDs!A:B,2,0)</f>
        <v>331</v>
      </c>
      <c r="L91" s="3">
        <f t="shared" si="6"/>
        <v>3</v>
      </c>
      <c r="M91" s="3">
        <f t="shared" si="8"/>
        <v>3</v>
      </c>
      <c r="N91" s="3">
        <f t="shared" si="9"/>
        <v>2</v>
      </c>
      <c r="O91" s="3">
        <f t="shared" si="7"/>
        <v>5</v>
      </c>
      <c r="P91" s="12" t="s">
        <v>577</v>
      </c>
      <c r="Q91" s="12" t="s">
        <v>678</v>
      </c>
      <c r="R91" t="s">
        <v>681</v>
      </c>
      <c r="S91" s="12" t="s">
        <v>9</v>
      </c>
    </row>
    <row r="92" spans="1:19" ht="45" x14ac:dyDescent="0.25">
      <c r="A92" s="3">
        <v>117</v>
      </c>
      <c r="B92" s="18" t="s">
        <v>38</v>
      </c>
      <c r="C92" s="4" t="s">
        <v>556</v>
      </c>
      <c r="D92" s="12" t="s">
        <v>428</v>
      </c>
      <c r="E92" s="13" t="s">
        <v>426</v>
      </c>
      <c r="F92" s="4" t="s">
        <v>225</v>
      </c>
      <c r="G92" s="3" t="s">
        <v>687</v>
      </c>
      <c r="H92" s="3" t="s">
        <v>33</v>
      </c>
      <c r="I92" s="3">
        <f>VLOOKUP(H92,cardsort_group_IDs!A:B,2,0)</f>
        <v>205</v>
      </c>
      <c r="J92" s="3" t="s">
        <v>38</v>
      </c>
      <c r="K92" s="3">
        <f>VLOOKUP(J92,cardsort_subgroup_IDs!A:B,2,0)</f>
        <v>309</v>
      </c>
      <c r="L92" s="3">
        <f t="shared" si="6"/>
        <v>3</v>
      </c>
      <c r="M92" s="3">
        <f t="shared" si="8"/>
        <v>1</v>
      </c>
      <c r="N92" s="3">
        <f t="shared" si="9"/>
        <v>4</v>
      </c>
      <c r="O92" s="3">
        <f t="shared" si="7"/>
        <v>5</v>
      </c>
      <c r="P92" s="12" t="s">
        <v>124</v>
      </c>
      <c r="Q92" s="12" t="s">
        <v>678</v>
      </c>
      <c r="R92" t="s">
        <v>682</v>
      </c>
      <c r="S92" s="12" t="s">
        <v>9</v>
      </c>
    </row>
    <row r="93" spans="1:19" ht="30" x14ac:dyDescent="0.25">
      <c r="A93" s="3">
        <v>118</v>
      </c>
      <c r="B93" s="18" t="s">
        <v>226</v>
      </c>
      <c r="C93" s="4" t="s">
        <v>9</v>
      </c>
      <c r="D93" s="13">
        <v>201</v>
      </c>
      <c r="E93" s="13" t="s">
        <v>9</v>
      </c>
      <c r="F93" s="4" t="s">
        <v>227</v>
      </c>
      <c r="G93" s="3" t="s">
        <v>687</v>
      </c>
      <c r="H93" s="3" t="s">
        <v>21</v>
      </c>
      <c r="I93" s="3">
        <f>VLOOKUP(H93,cardsort_group_IDs!A:B,2,0)</f>
        <v>202</v>
      </c>
      <c r="J93" s="3" t="s">
        <v>228</v>
      </c>
      <c r="K93" s="3">
        <f>VLOOKUP(J93,cardsort_subgroup_IDs!A:B,2,0)</f>
        <v>332</v>
      </c>
      <c r="L93" s="3">
        <f t="shared" si="6"/>
        <v>2</v>
      </c>
      <c r="M93" s="3">
        <f t="shared" si="8"/>
        <v>1</v>
      </c>
      <c r="N93" s="3">
        <f t="shared" si="9"/>
        <v>0</v>
      </c>
      <c r="O93" s="3">
        <f t="shared" si="7"/>
        <v>1</v>
      </c>
      <c r="P93" s="12" t="s">
        <v>577</v>
      </c>
      <c r="Q93" s="12" t="s">
        <v>676</v>
      </c>
      <c r="R93" t="s">
        <v>682</v>
      </c>
      <c r="S93" s="12" t="s">
        <v>9</v>
      </c>
    </row>
    <row r="94" spans="1:19" ht="30" x14ac:dyDescent="0.25">
      <c r="A94" s="3">
        <v>119</v>
      </c>
      <c r="B94" s="18" t="s">
        <v>229</v>
      </c>
      <c r="C94" s="4" t="s">
        <v>9</v>
      </c>
      <c r="D94" s="12" t="s">
        <v>405</v>
      </c>
      <c r="E94" s="13">
        <v>501</v>
      </c>
      <c r="F94" s="4" t="s">
        <v>230</v>
      </c>
      <c r="G94" s="3" t="s">
        <v>687</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2" t="s">
        <v>577</v>
      </c>
      <c r="Q94" s="12" t="s">
        <v>677</v>
      </c>
      <c r="R94" t="s">
        <v>682</v>
      </c>
      <c r="S94" s="12" t="s">
        <v>9</v>
      </c>
    </row>
    <row r="95" spans="1:19" x14ac:dyDescent="0.25">
      <c r="A95" s="3">
        <v>120</v>
      </c>
      <c r="B95" s="18" t="s">
        <v>231</v>
      </c>
      <c r="C95" s="4" t="s">
        <v>9</v>
      </c>
      <c r="D95" s="12" t="s">
        <v>410</v>
      </c>
      <c r="E95" s="13" t="s">
        <v>412</v>
      </c>
      <c r="F95" s="5" t="s">
        <v>232</v>
      </c>
      <c r="G95" s="3" t="s">
        <v>687</v>
      </c>
      <c r="H95" s="3" t="s">
        <v>15</v>
      </c>
      <c r="I95" s="3">
        <f>VLOOKUP(H95,cardsort_group_IDs!A:B,2,0)</f>
        <v>204</v>
      </c>
      <c r="J95" s="3" t="s">
        <v>26</v>
      </c>
      <c r="K95" s="3">
        <f>VLOOKUP(J95,cardsort_subgroup_IDs!A:B,2,0)</f>
        <v>306</v>
      </c>
      <c r="L95" s="3">
        <f t="shared" si="6"/>
        <v>3</v>
      </c>
      <c r="M95" s="3">
        <f t="shared" ref="M95:M126" si="10">IF(D95="-",0,LEN(D95)-LEN(SUBSTITUTE(D95,";",""))+1)</f>
        <v>1</v>
      </c>
      <c r="N95" s="3">
        <f t="shared" ref="N95:N126" si="11">IF(E95="-",0,LEN(E95)-LEN(SUBSTITUTE(E95,";",""))+1)</f>
        <v>2</v>
      </c>
      <c r="O95" s="3">
        <f t="shared" si="7"/>
        <v>3</v>
      </c>
      <c r="P95" s="12" t="s">
        <v>577</v>
      </c>
      <c r="Q95" s="12" t="s">
        <v>677</v>
      </c>
      <c r="R95" t="s">
        <v>681</v>
      </c>
      <c r="S95" s="12" t="s">
        <v>9</v>
      </c>
    </row>
    <row r="96" spans="1:19" ht="60" x14ac:dyDescent="0.25">
      <c r="A96" s="3">
        <v>121</v>
      </c>
      <c r="B96" s="18" t="s">
        <v>233</v>
      </c>
      <c r="C96" s="4" t="s">
        <v>280</v>
      </c>
      <c r="D96" s="12" t="s">
        <v>620</v>
      </c>
      <c r="E96" s="13" t="s">
        <v>416</v>
      </c>
      <c r="F96" s="4" t="s">
        <v>234</v>
      </c>
      <c r="G96" s="3" t="s">
        <v>687</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2" t="s">
        <v>124</v>
      </c>
      <c r="Q96" s="12" t="s">
        <v>677</v>
      </c>
      <c r="R96" t="s">
        <v>682</v>
      </c>
      <c r="S96" s="12" t="s">
        <v>9</v>
      </c>
    </row>
    <row r="97" spans="1:19" ht="45" x14ac:dyDescent="0.25">
      <c r="A97" s="3">
        <v>122</v>
      </c>
      <c r="B97" s="18" t="s">
        <v>235</v>
      </c>
      <c r="C97" s="4" t="s">
        <v>618</v>
      </c>
      <c r="D97" s="10" t="s">
        <v>619</v>
      </c>
      <c r="E97" s="13" t="s">
        <v>515</v>
      </c>
      <c r="F97" s="4" t="s">
        <v>236</v>
      </c>
      <c r="G97" s="3" t="s">
        <v>687</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2" t="s">
        <v>124</v>
      </c>
      <c r="Q97" s="12" t="s">
        <v>677</v>
      </c>
      <c r="R97" t="s">
        <v>681</v>
      </c>
      <c r="S97" s="12" t="s">
        <v>9</v>
      </c>
    </row>
    <row r="98" spans="1:19" ht="75" x14ac:dyDescent="0.25">
      <c r="A98" s="3">
        <v>124</v>
      </c>
      <c r="B98" s="18" t="s">
        <v>779</v>
      </c>
      <c r="C98" s="4" t="s">
        <v>780</v>
      </c>
      <c r="D98" s="12" t="s">
        <v>745</v>
      </c>
      <c r="E98" s="13" t="s">
        <v>704</v>
      </c>
      <c r="F98" s="4" t="s">
        <v>237</v>
      </c>
      <c r="G98" s="3" t="s">
        <v>687</v>
      </c>
      <c r="H98" s="3" t="s">
        <v>488</v>
      </c>
      <c r="I98" s="3">
        <f>VLOOKUP(H98,cardsort_group_IDs!A:B,2,0)</f>
        <v>203</v>
      </c>
      <c r="J98" s="3" t="s">
        <v>110</v>
      </c>
      <c r="K98" s="3">
        <f>VLOOKUP(J98,cardsort_subgroup_IDs!A:B,2,0)</f>
        <v>323</v>
      </c>
      <c r="L98" s="3">
        <f t="shared" si="6"/>
        <v>3</v>
      </c>
      <c r="M98" s="3">
        <f t="shared" si="10"/>
        <v>4</v>
      </c>
      <c r="N98" s="3">
        <f t="shared" si="11"/>
        <v>4</v>
      </c>
      <c r="O98" s="3">
        <f t="shared" si="7"/>
        <v>8</v>
      </c>
      <c r="P98" s="12" t="s">
        <v>577</v>
      </c>
      <c r="Q98" s="12" t="s">
        <v>676</v>
      </c>
      <c r="R98" t="s">
        <v>681</v>
      </c>
      <c r="S98" s="12" t="s">
        <v>9</v>
      </c>
    </row>
    <row r="99" spans="1:19" ht="30" x14ac:dyDescent="0.25">
      <c r="A99" s="3">
        <v>126</v>
      </c>
      <c r="B99" s="20" t="s">
        <v>764</v>
      </c>
      <c r="C99" s="4" t="s">
        <v>9</v>
      </c>
      <c r="D99" s="12" t="s">
        <v>407</v>
      </c>
      <c r="E99" s="13">
        <v>501</v>
      </c>
      <c r="F99" s="4" t="s">
        <v>765</v>
      </c>
      <c r="G99" s="3" t="s">
        <v>687</v>
      </c>
      <c r="H99" s="3" t="s">
        <v>54</v>
      </c>
      <c r="I99" s="3">
        <f>VLOOKUP(H99,cardsort_group_IDs!A:B,2,0)</f>
        <v>207</v>
      </c>
      <c r="J99" s="3" t="s">
        <v>55</v>
      </c>
      <c r="K99" s="3">
        <f>VLOOKUP(J99,cardsort_subgroup_IDs!A:B,2,0)</f>
        <v>312</v>
      </c>
      <c r="L99" s="3">
        <f t="shared" si="6"/>
        <v>3</v>
      </c>
      <c r="M99" s="3">
        <f t="shared" si="10"/>
        <v>1</v>
      </c>
      <c r="N99" s="3">
        <f t="shared" si="11"/>
        <v>1</v>
      </c>
      <c r="O99" s="3">
        <f t="shared" si="7"/>
        <v>2</v>
      </c>
      <c r="P99" s="12" t="s">
        <v>577</v>
      </c>
      <c r="Q99" s="12" t="s">
        <v>677</v>
      </c>
      <c r="R99" t="s">
        <v>682</v>
      </c>
      <c r="S99" s="12" t="s">
        <v>9</v>
      </c>
    </row>
    <row r="100" spans="1:19" ht="60" x14ac:dyDescent="0.25">
      <c r="A100" s="3">
        <v>127</v>
      </c>
      <c r="B100" s="20" t="s">
        <v>763</v>
      </c>
      <c r="C100" s="4" t="s">
        <v>767</v>
      </c>
      <c r="D100" s="12" t="s">
        <v>752</v>
      </c>
      <c r="E100" s="13" t="s">
        <v>266</v>
      </c>
      <c r="F100" s="5" t="s">
        <v>766</v>
      </c>
      <c r="G100" s="3" t="s">
        <v>687</v>
      </c>
      <c r="H100" s="3" t="s">
        <v>54</v>
      </c>
      <c r="I100" s="3">
        <f>VLOOKUP(H100,cardsort_group_IDs!A:B,2,0)</f>
        <v>207</v>
      </c>
      <c r="J100" s="3" t="s">
        <v>55</v>
      </c>
      <c r="K100" s="3">
        <f>VLOOKUP(J100,cardsort_subgroup_IDs!A:B,2,0)</f>
        <v>312</v>
      </c>
      <c r="L100" s="3">
        <f t="shared" si="6"/>
        <v>3</v>
      </c>
      <c r="M100" s="3">
        <f t="shared" si="10"/>
        <v>2</v>
      </c>
      <c r="N100" s="3">
        <f t="shared" si="11"/>
        <v>2</v>
      </c>
      <c r="O100" s="3">
        <f t="shared" si="7"/>
        <v>4</v>
      </c>
      <c r="P100" s="12" t="s">
        <v>577</v>
      </c>
      <c r="Q100" s="12" t="s">
        <v>677</v>
      </c>
      <c r="R100" t="s">
        <v>682</v>
      </c>
      <c r="S100" s="12" t="s">
        <v>9</v>
      </c>
    </row>
    <row r="101" spans="1:19" ht="30" x14ac:dyDescent="0.25">
      <c r="A101" s="3">
        <v>128</v>
      </c>
      <c r="B101" s="20" t="s">
        <v>240</v>
      </c>
      <c r="C101" s="4" t="s">
        <v>9</v>
      </c>
      <c r="D101" s="12" t="s">
        <v>411</v>
      </c>
      <c r="E101" s="13">
        <v>501</v>
      </c>
      <c r="F101" s="5" t="s">
        <v>241</v>
      </c>
      <c r="G101" s="3" t="s">
        <v>687</v>
      </c>
      <c r="H101" s="3" t="s">
        <v>54</v>
      </c>
      <c r="I101" s="3">
        <f>VLOOKUP(H101,cardsort_group_IDs!A:B,2,0)</f>
        <v>207</v>
      </c>
      <c r="J101" s="3" t="s">
        <v>55</v>
      </c>
      <c r="K101" s="3">
        <f>VLOOKUP(J101,cardsort_subgroup_IDs!A:B,2,0)</f>
        <v>312</v>
      </c>
      <c r="L101" s="3">
        <f t="shared" si="6"/>
        <v>3</v>
      </c>
      <c r="M101" s="3">
        <f t="shared" si="10"/>
        <v>1</v>
      </c>
      <c r="N101" s="3">
        <f t="shared" si="11"/>
        <v>1</v>
      </c>
      <c r="O101" s="3">
        <f t="shared" si="7"/>
        <v>2</v>
      </c>
      <c r="P101" s="12" t="s">
        <v>577</v>
      </c>
      <c r="Q101" s="12" t="s">
        <v>677</v>
      </c>
      <c r="R101" t="s">
        <v>682</v>
      </c>
      <c r="S101" s="12" t="s">
        <v>9</v>
      </c>
    </row>
    <row r="102" spans="1:19" ht="60" x14ac:dyDescent="0.25">
      <c r="A102" s="3">
        <v>129</v>
      </c>
      <c r="B102" s="20" t="s">
        <v>602</v>
      </c>
      <c r="C102" s="4" t="s">
        <v>267</v>
      </c>
      <c r="D102" s="12" t="s">
        <v>604</v>
      </c>
      <c r="E102" s="13" t="s">
        <v>637</v>
      </c>
      <c r="F102" s="4" t="s">
        <v>603</v>
      </c>
      <c r="G102" s="3" t="s">
        <v>687</v>
      </c>
      <c r="H102" s="3" t="s">
        <v>54</v>
      </c>
      <c r="I102" s="3">
        <f>VLOOKUP(H102,cardsort_group_IDs!A:B,2,0)</f>
        <v>207</v>
      </c>
      <c r="J102" s="3" t="s">
        <v>55</v>
      </c>
      <c r="K102" s="3">
        <f>VLOOKUP(J102,cardsort_subgroup_IDs!A:B,2,0)</f>
        <v>312</v>
      </c>
      <c r="L102" s="3">
        <f t="shared" si="6"/>
        <v>3</v>
      </c>
      <c r="M102" s="3">
        <f t="shared" si="10"/>
        <v>16</v>
      </c>
      <c r="N102" s="3">
        <f t="shared" si="11"/>
        <v>11</v>
      </c>
      <c r="O102" s="3">
        <f t="shared" si="7"/>
        <v>27</v>
      </c>
      <c r="P102" s="12" t="s">
        <v>124</v>
      </c>
      <c r="Q102" s="12" t="s">
        <v>677</v>
      </c>
      <c r="R102" t="s">
        <v>682</v>
      </c>
      <c r="S102" s="12" t="s">
        <v>9</v>
      </c>
    </row>
    <row r="103" spans="1:19" ht="120" x14ac:dyDescent="0.25">
      <c r="A103" s="3">
        <v>130</v>
      </c>
      <c r="B103" s="18" t="s">
        <v>768</v>
      </c>
      <c r="C103" s="4" t="s">
        <v>9</v>
      </c>
      <c r="D103" s="12" t="s">
        <v>496</v>
      </c>
      <c r="E103" s="13" t="s">
        <v>497</v>
      </c>
      <c r="F103" s="4" t="s">
        <v>769</v>
      </c>
      <c r="G103" s="18" t="s">
        <v>687</v>
      </c>
      <c r="H103" s="3" t="s">
        <v>488</v>
      </c>
      <c r="I103" s="3">
        <f>VLOOKUP(H103,cardsort_group_IDs!A:B,2,0)</f>
        <v>203</v>
      </c>
      <c r="J103" s="4" t="s">
        <v>58</v>
      </c>
      <c r="K103" s="3">
        <f>VLOOKUP(J103,cardsort_subgroup_IDs!A:B,2,0)</f>
        <v>313</v>
      </c>
      <c r="L103" s="3">
        <f t="shared" si="6"/>
        <v>3</v>
      </c>
      <c r="M103" s="3">
        <f t="shared" si="10"/>
        <v>2</v>
      </c>
      <c r="N103" s="3">
        <f t="shared" si="11"/>
        <v>3</v>
      </c>
      <c r="O103" s="3">
        <f t="shared" si="7"/>
        <v>5</v>
      </c>
      <c r="P103" s="12" t="s">
        <v>577</v>
      </c>
      <c r="Q103" s="12" t="s">
        <v>676</v>
      </c>
      <c r="R103" t="s">
        <v>681</v>
      </c>
      <c r="S103" s="12" t="s">
        <v>9</v>
      </c>
    </row>
    <row r="104" spans="1:19" ht="90" x14ac:dyDescent="0.25">
      <c r="A104" s="3">
        <v>134</v>
      </c>
      <c r="B104" s="20" t="s">
        <v>268</v>
      </c>
      <c r="C104" s="4" t="s">
        <v>269</v>
      </c>
      <c r="D104" s="10" t="s">
        <v>630</v>
      </c>
      <c r="E104" s="14" t="s">
        <v>516</v>
      </c>
      <c r="F104" s="4" t="s">
        <v>481</v>
      </c>
      <c r="G104" t="s">
        <v>687</v>
      </c>
      <c r="H104" t="s">
        <v>33</v>
      </c>
      <c r="I104" s="3">
        <f>VLOOKUP(H104,cardsort_group_IDs!A:B,2,0)</f>
        <v>205</v>
      </c>
      <c r="J104" t="s">
        <v>82</v>
      </c>
      <c r="K104" s="3">
        <f>VLOOKUP(J104,cardsort_subgroup_IDs!A:B,2,0)</f>
        <v>319</v>
      </c>
      <c r="L104" s="3">
        <f t="shared" si="6"/>
        <v>3</v>
      </c>
      <c r="M104" s="3">
        <f t="shared" si="10"/>
        <v>2</v>
      </c>
      <c r="N104" s="3">
        <f t="shared" si="11"/>
        <v>9</v>
      </c>
      <c r="O104" s="3">
        <f t="shared" si="7"/>
        <v>11</v>
      </c>
      <c r="P104" s="12" t="s">
        <v>124</v>
      </c>
      <c r="Q104" s="12" t="s">
        <v>678</v>
      </c>
      <c r="R104" t="s">
        <v>682</v>
      </c>
      <c r="S104" s="12" t="s">
        <v>9</v>
      </c>
    </row>
    <row r="105" spans="1:19" ht="30" x14ac:dyDescent="0.25">
      <c r="A105" s="3">
        <v>135</v>
      </c>
      <c r="B105" s="20" t="s">
        <v>270</v>
      </c>
      <c r="C105" s="4" t="s">
        <v>9</v>
      </c>
      <c r="D105" s="12" t="s">
        <v>9</v>
      </c>
      <c r="E105" s="14">
        <v>183</v>
      </c>
      <c r="F105" s="4" t="s">
        <v>483</v>
      </c>
      <c r="G105" t="s">
        <v>686</v>
      </c>
      <c r="H105" t="s">
        <v>488</v>
      </c>
      <c r="I105" s="3">
        <f>VLOOKUP(H105,cardsort_group_IDs!A:B,2,0)</f>
        <v>203</v>
      </c>
      <c r="J105" t="s">
        <v>131</v>
      </c>
      <c r="K105" s="3">
        <f>VLOOKUP(J105,cardsort_subgroup_IDs!A:B,2,0)</f>
        <v>328</v>
      </c>
      <c r="L105" s="3">
        <f t="shared" si="6"/>
        <v>1</v>
      </c>
      <c r="M105" s="3">
        <f t="shared" si="10"/>
        <v>0</v>
      </c>
      <c r="N105" s="3">
        <f t="shared" si="11"/>
        <v>1</v>
      </c>
      <c r="O105" s="3">
        <f t="shared" si="7"/>
        <v>1</v>
      </c>
      <c r="P105" s="12" t="s">
        <v>577</v>
      </c>
      <c r="Q105" s="12" t="s">
        <v>676</v>
      </c>
      <c r="R105" t="s">
        <v>681</v>
      </c>
      <c r="S105" s="12" t="s">
        <v>9</v>
      </c>
    </row>
    <row r="106" spans="1:19" ht="45" x14ac:dyDescent="0.25">
      <c r="A106" s="3">
        <v>136</v>
      </c>
      <c r="B106" s="20" t="s">
        <v>482</v>
      </c>
      <c r="C106" s="4" t="s">
        <v>9</v>
      </c>
      <c r="D106" s="12" t="s">
        <v>9</v>
      </c>
      <c r="E106" s="14">
        <v>240</v>
      </c>
      <c r="F106" s="4" t="s">
        <v>484</v>
      </c>
      <c r="G106" t="s">
        <v>687</v>
      </c>
      <c r="H106" t="s">
        <v>54</v>
      </c>
      <c r="I106" s="3">
        <f>VLOOKUP(H106,cardsort_group_IDs!A:B,2,0)</f>
        <v>207</v>
      </c>
      <c r="J106" t="s">
        <v>55</v>
      </c>
      <c r="K106" s="3">
        <f>VLOOKUP(J106,cardsort_subgroup_IDs!A:B,2,0)</f>
        <v>312</v>
      </c>
      <c r="L106" s="3">
        <f t="shared" si="6"/>
        <v>1</v>
      </c>
      <c r="M106" s="3">
        <f t="shared" si="10"/>
        <v>0</v>
      </c>
      <c r="N106" s="3">
        <f t="shared" si="11"/>
        <v>1</v>
      </c>
      <c r="O106" s="3">
        <f t="shared" si="7"/>
        <v>1</v>
      </c>
      <c r="P106" s="12" t="s">
        <v>577</v>
      </c>
      <c r="Q106" s="12" t="s">
        <v>676</v>
      </c>
      <c r="R106" t="s">
        <v>683</v>
      </c>
      <c r="S106" s="12" t="s">
        <v>9</v>
      </c>
    </row>
    <row r="107" spans="1:19" ht="45" x14ac:dyDescent="0.25">
      <c r="A107" s="3">
        <v>137</v>
      </c>
      <c r="B107" s="20" t="s">
        <v>271</v>
      </c>
      <c r="C107" s="4" t="s">
        <v>272</v>
      </c>
      <c r="D107" s="12" t="s">
        <v>9</v>
      </c>
      <c r="E107" s="14" t="s">
        <v>273</v>
      </c>
      <c r="F107" s="4" t="s">
        <v>485</v>
      </c>
      <c r="G107" t="s">
        <v>686</v>
      </c>
      <c r="H107" t="s">
        <v>488</v>
      </c>
      <c r="I107" s="3">
        <f>VLOOKUP(H107,cardsort_group_IDs!A:B,2,0)</f>
        <v>203</v>
      </c>
      <c r="J107" t="s">
        <v>58</v>
      </c>
      <c r="K107" s="3">
        <f>VLOOKUP(J107,cardsort_subgroup_IDs!A:B,2,0)</f>
        <v>313</v>
      </c>
      <c r="L107" s="3">
        <f t="shared" si="6"/>
        <v>1</v>
      </c>
      <c r="M107" s="3">
        <f t="shared" si="10"/>
        <v>0</v>
      </c>
      <c r="N107" s="3">
        <f t="shared" si="11"/>
        <v>6</v>
      </c>
      <c r="O107" s="3">
        <f t="shared" si="7"/>
        <v>6</v>
      </c>
      <c r="P107" s="12" t="s">
        <v>577</v>
      </c>
      <c r="Q107" s="12" t="s">
        <v>678</v>
      </c>
      <c r="R107" t="s">
        <v>681</v>
      </c>
      <c r="S107" s="12" t="s">
        <v>9</v>
      </c>
    </row>
    <row r="108" spans="1:19" x14ac:dyDescent="0.25">
      <c r="A108" s="3">
        <v>138</v>
      </c>
      <c r="B108" s="20" t="s">
        <v>274</v>
      </c>
      <c r="C108" s="4" t="s">
        <v>275</v>
      </c>
      <c r="D108" s="12" t="s">
        <v>9</v>
      </c>
      <c r="E108" s="14">
        <v>236</v>
      </c>
      <c r="F108" s="8" t="s">
        <v>480</v>
      </c>
      <c r="G108" t="s">
        <v>687</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2" t="s">
        <v>577</v>
      </c>
      <c r="Q108" s="12" t="s">
        <v>677</v>
      </c>
      <c r="R108" t="s">
        <v>682</v>
      </c>
      <c r="S108" s="12" t="s">
        <v>9</v>
      </c>
    </row>
    <row r="109" spans="1:19" ht="60" x14ac:dyDescent="0.25">
      <c r="A109" s="3">
        <v>139</v>
      </c>
      <c r="B109" s="18" t="s">
        <v>525</v>
      </c>
      <c r="C109" s="4" t="s">
        <v>9</v>
      </c>
      <c r="D109" s="12">
        <v>510</v>
      </c>
      <c r="E109" s="13" t="s">
        <v>9</v>
      </c>
      <c r="F109" s="4" t="s">
        <v>526</v>
      </c>
      <c r="G109" s="3" t="s">
        <v>687</v>
      </c>
      <c r="H109" s="3" t="s">
        <v>21</v>
      </c>
      <c r="I109" s="3">
        <f>VLOOKUP(H109,cardsort_group_IDs!A:B,2,0)</f>
        <v>202</v>
      </c>
      <c r="J109" s="3" t="s">
        <v>153</v>
      </c>
      <c r="K109" s="3">
        <f>VLOOKUP(J109,cardsort_subgroup_IDs!A:B,2,0)</f>
        <v>304</v>
      </c>
      <c r="L109" s="3">
        <f t="shared" ref="L109" si="12">IF(E109="-",0,1)+IF(D109="-",0,2)</f>
        <v>2</v>
      </c>
      <c r="M109" s="3">
        <f t="shared" si="10"/>
        <v>1</v>
      </c>
      <c r="N109" s="3">
        <f t="shared" si="11"/>
        <v>0</v>
      </c>
      <c r="O109" s="3">
        <f t="shared" ref="O109" si="13">SUM(M109:N109)</f>
        <v>1</v>
      </c>
      <c r="P109" s="12" t="s">
        <v>577</v>
      </c>
      <c r="Q109" s="12" t="s">
        <v>678</v>
      </c>
      <c r="R109" t="s">
        <v>682</v>
      </c>
      <c r="S109" s="12" t="s">
        <v>9</v>
      </c>
    </row>
    <row r="110" spans="1:19" ht="60" x14ac:dyDescent="0.25">
      <c r="A110" s="3">
        <v>140</v>
      </c>
      <c r="B110" s="18" t="s">
        <v>566</v>
      </c>
      <c r="C110" s="4" t="s">
        <v>597</v>
      </c>
      <c r="D110" s="12" t="s">
        <v>598</v>
      </c>
      <c r="E110" s="13" t="s">
        <v>633</v>
      </c>
      <c r="F110" s="3" t="s">
        <v>567</v>
      </c>
      <c r="G110" s="3" t="s">
        <v>687</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2" t="s">
        <v>569</v>
      </c>
      <c r="Q110" s="12" t="s">
        <v>676</v>
      </c>
      <c r="R110" t="s">
        <v>682</v>
      </c>
      <c r="S110" s="12">
        <v>2</v>
      </c>
    </row>
    <row r="111" spans="1:19" x14ac:dyDescent="0.25">
      <c r="A111" s="3">
        <v>141</v>
      </c>
      <c r="B111" s="18" t="s">
        <v>571</v>
      </c>
      <c r="C111" s="4" t="s">
        <v>9</v>
      </c>
      <c r="D111" s="12" t="s">
        <v>573</v>
      </c>
      <c r="E111" s="13" t="s">
        <v>633</v>
      </c>
      <c r="F111" s="3" t="s">
        <v>572</v>
      </c>
      <c r="G111" s="3" t="s">
        <v>687</v>
      </c>
      <c r="H111" s="3" t="s">
        <v>54</v>
      </c>
      <c r="I111" s="3">
        <f>VLOOKUP(H111,cardsort_group_IDs!A:B,2,0)</f>
        <v>207</v>
      </c>
      <c r="J111" s="3" t="s">
        <v>55</v>
      </c>
      <c r="K111" s="3">
        <f>VLOOKUP(J111,cardsort_subgroup_IDs!A:B,2,0)</f>
        <v>312</v>
      </c>
      <c r="L111" s="3">
        <f>IF(E111="-",0,1)+IF(D111="-",0,2)</f>
        <v>3</v>
      </c>
      <c r="M111" s="3">
        <f t="shared" si="10"/>
        <v>2</v>
      </c>
      <c r="N111" s="3">
        <f t="shared" si="11"/>
        <v>1</v>
      </c>
      <c r="O111" s="3">
        <f>SUM(M111:N111)</f>
        <v>3</v>
      </c>
      <c r="P111" s="12" t="s">
        <v>569</v>
      </c>
      <c r="Q111" s="12" t="s">
        <v>677</v>
      </c>
      <c r="R111" t="s">
        <v>682</v>
      </c>
      <c r="S111" s="12">
        <v>129</v>
      </c>
    </row>
    <row r="112" spans="1:19" x14ac:dyDescent="0.25">
      <c r="A112" s="3">
        <v>142</v>
      </c>
      <c r="B112" s="18" t="s">
        <v>574</v>
      </c>
      <c r="C112" s="4" t="s">
        <v>9</v>
      </c>
      <c r="D112" s="12" t="s">
        <v>549</v>
      </c>
      <c r="E112" s="13" t="s">
        <v>633</v>
      </c>
      <c r="F112" s="3" t="s">
        <v>575</v>
      </c>
      <c r="G112" s="3" t="s">
        <v>687</v>
      </c>
      <c r="H112" s="3" t="s">
        <v>54</v>
      </c>
      <c r="I112" s="3">
        <f>VLOOKUP(H112,cardsort_group_IDs!A:B,2,0)</f>
        <v>207</v>
      </c>
      <c r="J112" s="3" t="s">
        <v>55</v>
      </c>
      <c r="K112" s="3">
        <f>VLOOKUP(J112,cardsort_subgroup_IDs!A:B,2,0)</f>
        <v>312</v>
      </c>
      <c r="L112" s="3">
        <f>IF(E112="-",0,1)+IF(D112="-",0,2)</f>
        <v>3</v>
      </c>
      <c r="M112" s="3">
        <f t="shared" si="10"/>
        <v>1</v>
      </c>
      <c r="N112" s="3">
        <f t="shared" si="11"/>
        <v>1</v>
      </c>
      <c r="O112" s="3">
        <f>SUM(M112:N112)</f>
        <v>2</v>
      </c>
      <c r="P112" s="12" t="s">
        <v>569</v>
      </c>
      <c r="Q112" s="12" t="s">
        <v>677</v>
      </c>
      <c r="R112" t="s">
        <v>682</v>
      </c>
      <c r="S112" s="12">
        <v>19</v>
      </c>
    </row>
    <row r="113" spans="1:19" x14ac:dyDescent="0.25">
      <c r="A113" s="3">
        <v>143</v>
      </c>
      <c r="B113" s="18" t="s">
        <v>580</v>
      </c>
      <c r="C113" s="4" t="s">
        <v>9</v>
      </c>
      <c r="D113" s="12" t="s">
        <v>581</v>
      </c>
      <c r="E113" s="13" t="s">
        <v>9</v>
      </c>
      <c r="F113" s="3" t="s">
        <v>582</v>
      </c>
      <c r="G113" s="3" t="s">
        <v>687</v>
      </c>
      <c r="H113" s="3" t="s">
        <v>54</v>
      </c>
      <c r="I113" s="3">
        <f>VLOOKUP(H113,cardsort_group_IDs!A:B,2,0)</f>
        <v>207</v>
      </c>
      <c r="J113" s="3" t="s">
        <v>55</v>
      </c>
      <c r="K113" s="3">
        <f>VLOOKUP(J113,cardsort_subgroup_IDs!A:B,2,0)</f>
        <v>312</v>
      </c>
      <c r="L113" s="3">
        <f>IF(E113="-",0,1)+IF(D113="-",0,2)</f>
        <v>2</v>
      </c>
      <c r="M113" s="3">
        <f t="shared" si="10"/>
        <v>5</v>
      </c>
      <c r="N113" s="3">
        <f t="shared" si="11"/>
        <v>0</v>
      </c>
      <c r="O113" s="3">
        <f>SUM(M113:N113)</f>
        <v>5</v>
      </c>
      <c r="P113" s="12" t="s">
        <v>569</v>
      </c>
      <c r="Q113" s="12" t="s">
        <v>676</v>
      </c>
      <c r="R113" t="s">
        <v>682</v>
      </c>
      <c r="S113" s="12" t="s">
        <v>9</v>
      </c>
    </row>
    <row r="114" spans="1:19" x14ac:dyDescent="0.25">
      <c r="A114" s="3">
        <v>144</v>
      </c>
      <c r="B114" s="24" t="s">
        <v>584</v>
      </c>
      <c r="C114" s="4" t="s">
        <v>9</v>
      </c>
      <c r="D114" s="10" t="s">
        <v>558</v>
      </c>
      <c r="E114" s="13" t="s">
        <v>9</v>
      </c>
      <c r="F114" s="3" t="s">
        <v>587</v>
      </c>
      <c r="G114" s="3" t="s">
        <v>687</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2" t="s">
        <v>583</v>
      </c>
      <c r="Q114" s="12" t="s">
        <v>676</v>
      </c>
      <c r="R114" t="s">
        <v>682</v>
      </c>
      <c r="S114" s="12" t="s">
        <v>589</v>
      </c>
    </row>
    <row r="115" spans="1:19" x14ac:dyDescent="0.25">
      <c r="A115" s="3">
        <v>145</v>
      </c>
      <c r="B115" s="18" t="s">
        <v>586</v>
      </c>
      <c r="C115" s="4" t="s">
        <v>9</v>
      </c>
      <c r="D115" s="10" t="s">
        <v>558</v>
      </c>
      <c r="E115" s="13" t="s">
        <v>9</v>
      </c>
      <c r="F115" s="3" t="s">
        <v>588</v>
      </c>
      <c r="G115" s="3" t="s">
        <v>687</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2" t="s">
        <v>583</v>
      </c>
      <c r="Q115" s="12" t="s">
        <v>677</v>
      </c>
      <c r="R115" t="s">
        <v>682</v>
      </c>
      <c r="S115" s="12" t="s">
        <v>589</v>
      </c>
    </row>
    <row r="116" spans="1:19" ht="30" x14ac:dyDescent="0.25">
      <c r="A116" s="3">
        <v>146</v>
      </c>
      <c r="B116" s="18" t="s">
        <v>585</v>
      </c>
      <c r="C116" s="4" t="s">
        <v>640</v>
      </c>
      <c r="D116" t="s">
        <v>590</v>
      </c>
      <c r="E116" s="13" t="s">
        <v>633</v>
      </c>
      <c r="F116" s="3" t="s">
        <v>592</v>
      </c>
      <c r="G116" s="3" t="s">
        <v>687</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2" t="s">
        <v>583</v>
      </c>
      <c r="Q116" s="12" t="s">
        <v>677</v>
      </c>
      <c r="R116" t="s">
        <v>682</v>
      </c>
      <c r="S116" s="12" t="s">
        <v>591</v>
      </c>
    </row>
    <row r="117" spans="1:19" x14ac:dyDescent="0.25">
      <c r="A117" s="3">
        <v>147</v>
      </c>
      <c r="B117" s="18" t="s">
        <v>593</v>
      </c>
      <c r="C117" s="4" t="s">
        <v>9</v>
      </c>
      <c r="D117" s="10" t="s">
        <v>595</v>
      </c>
      <c r="E117" s="13" t="s">
        <v>9</v>
      </c>
      <c r="F117" s="3" t="s">
        <v>594</v>
      </c>
      <c r="G117" s="3" t="s">
        <v>687</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2" t="s">
        <v>569</v>
      </c>
      <c r="Q117" s="12" t="s">
        <v>678</v>
      </c>
      <c r="R117" t="s">
        <v>681</v>
      </c>
      <c r="S117" s="12" t="s">
        <v>589</v>
      </c>
    </row>
    <row r="118" spans="1:19" x14ac:dyDescent="0.25">
      <c r="A118" s="3">
        <v>148</v>
      </c>
      <c r="B118" s="18" t="s">
        <v>599</v>
      </c>
      <c r="C118" s="4" t="s">
        <v>641</v>
      </c>
      <c r="D118" t="s">
        <v>631</v>
      </c>
      <c r="E118" s="13" t="s">
        <v>633</v>
      </c>
      <c r="F118" s="3" t="s">
        <v>600</v>
      </c>
      <c r="G118" s="3" t="s">
        <v>686</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2" t="s">
        <v>124</v>
      </c>
      <c r="Q118" s="12" t="s">
        <v>677</v>
      </c>
      <c r="R118" t="s">
        <v>681</v>
      </c>
      <c r="S118" s="12" t="s">
        <v>601</v>
      </c>
    </row>
    <row r="119" spans="1:19" x14ac:dyDescent="0.25">
      <c r="A119" s="3">
        <v>149</v>
      </c>
      <c r="B119" s="18" t="s">
        <v>639</v>
      </c>
      <c r="C119" s="4" t="s">
        <v>9</v>
      </c>
      <c r="D119" s="12" t="s">
        <v>621</v>
      </c>
      <c r="E119" s="13" t="s">
        <v>633</v>
      </c>
      <c r="F119" s="3" t="s">
        <v>610</v>
      </c>
      <c r="G119" s="3" t="s">
        <v>686</v>
      </c>
      <c r="H119" s="3" t="s">
        <v>21</v>
      </c>
      <c r="I119" s="3">
        <f>VLOOKUP(H119,cardsort_group_IDs!A:B,2,0)</f>
        <v>202</v>
      </c>
      <c r="J119" s="3" t="s">
        <v>153</v>
      </c>
      <c r="K119" s="3">
        <f>VLOOKUP(J119,cardsort_subgroup_IDs!A:B,2,0)</f>
        <v>304</v>
      </c>
      <c r="L119" s="3">
        <f t="shared" ref="L119" si="20">IF(E119="-",0,1)+IF(D119="-",0,2)</f>
        <v>3</v>
      </c>
      <c r="M119" s="3">
        <f t="shared" si="10"/>
        <v>2</v>
      </c>
      <c r="N119" s="3">
        <f t="shared" si="11"/>
        <v>1</v>
      </c>
      <c r="O119" s="3">
        <f t="shared" ref="O119" si="21">SUM(M119:N119)</f>
        <v>3</v>
      </c>
      <c r="P119" s="12" t="s">
        <v>124</v>
      </c>
      <c r="Q119" s="12" t="s">
        <v>676</v>
      </c>
      <c r="R119" t="s">
        <v>681</v>
      </c>
      <c r="S119" s="12" t="s">
        <v>611</v>
      </c>
    </row>
    <row r="120" spans="1:19" ht="30" x14ac:dyDescent="0.25">
      <c r="A120" s="3">
        <v>150</v>
      </c>
      <c r="B120" s="18" t="s">
        <v>623</v>
      </c>
      <c r="C120" s="4" t="s">
        <v>757</v>
      </c>
      <c r="D120" s="12" t="s">
        <v>756</v>
      </c>
      <c r="E120" s="13" t="s">
        <v>9</v>
      </c>
      <c r="F120" s="3" t="s">
        <v>624</v>
      </c>
      <c r="G120" s="3" t="s">
        <v>686</v>
      </c>
      <c r="H120" s="3" t="s">
        <v>488</v>
      </c>
      <c r="I120" s="3">
        <f>VLOOKUP(H120,cardsort_group_IDs!A:B,2,0)</f>
        <v>203</v>
      </c>
      <c r="J120" s="3" t="s">
        <v>58</v>
      </c>
      <c r="K120" s="3">
        <f>VLOOKUP(J120,cardsort_subgroup_IDs!A:B,2,0)</f>
        <v>313</v>
      </c>
      <c r="L120" s="3">
        <f t="shared" ref="L120" si="22">IF(E120="-",0,1)+IF(D120="-",0,2)</f>
        <v>2</v>
      </c>
      <c r="M120" s="3">
        <f t="shared" si="10"/>
        <v>3</v>
      </c>
      <c r="N120" s="3">
        <f t="shared" si="11"/>
        <v>0</v>
      </c>
      <c r="O120" s="3">
        <f t="shared" ref="O120" si="23">SUM(M120:N120)</f>
        <v>3</v>
      </c>
      <c r="P120" s="12" t="s">
        <v>124</v>
      </c>
      <c r="Q120" s="12" t="s">
        <v>676</v>
      </c>
      <c r="R120" t="s">
        <v>681</v>
      </c>
      <c r="S120" s="12" t="s">
        <v>625</v>
      </c>
    </row>
    <row r="121" spans="1:19" ht="30" x14ac:dyDescent="0.25">
      <c r="A121" s="3">
        <v>151</v>
      </c>
      <c r="B121" s="18" t="s">
        <v>635</v>
      </c>
      <c r="C121" s="4" t="s">
        <v>642</v>
      </c>
      <c r="D121" s="12" t="s">
        <v>9</v>
      </c>
      <c r="E121" s="13" t="s">
        <v>633</v>
      </c>
      <c r="F121" s="3" t="s">
        <v>636</v>
      </c>
      <c r="G121" s="3" t="s">
        <v>687</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2" t="s">
        <v>124</v>
      </c>
      <c r="Q121" s="12" t="s">
        <v>677</v>
      </c>
      <c r="R121" t="s">
        <v>681</v>
      </c>
      <c r="S121" s="12" t="s">
        <v>9</v>
      </c>
    </row>
    <row r="122" spans="1:19" x14ac:dyDescent="0.25">
      <c r="A122" s="3">
        <v>152</v>
      </c>
      <c r="B122" s="18" t="s">
        <v>647</v>
      </c>
      <c r="C122" s="4" t="s">
        <v>9</v>
      </c>
      <c r="D122" s="12" t="s">
        <v>9</v>
      </c>
      <c r="E122" s="13" t="s">
        <v>643</v>
      </c>
      <c r="F122" s="3" t="s">
        <v>648</v>
      </c>
      <c r="G122" s="3" t="s">
        <v>686</v>
      </c>
      <c r="H122" s="3" t="s">
        <v>488</v>
      </c>
      <c r="I122" s="3">
        <f>VLOOKUP(H122,cardsort_group_IDs!A:B,2,0)</f>
        <v>203</v>
      </c>
      <c r="J122" s="3" t="s">
        <v>93</v>
      </c>
      <c r="K122" s="3">
        <f>VLOOKUP(J122,cardsort_subgroup_IDs!A:B,2,0)</f>
        <v>321</v>
      </c>
      <c r="L122" s="3">
        <f t="shared" ref="L122" si="26">IF(E122="-",0,1)+IF(D122="-",0,2)</f>
        <v>1</v>
      </c>
      <c r="M122" s="3">
        <f t="shared" si="10"/>
        <v>0</v>
      </c>
      <c r="N122" s="3">
        <f t="shared" si="11"/>
        <v>1</v>
      </c>
      <c r="O122" s="3">
        <f t="shared" ref="O122" si="27">SUM(M122:N122)</f>
        <v>1</v>
      </c>
      <c r="P122" s="12" t="s">
        <v>124</v>
      </c>
      <c r="Q122" s="12" t="s">
        <v>676</v>
      </c>
      <c r="R122" t="s">
        <v>681</v>
      </c>
      <c r="S122" s="12" t="s">
        <v>9</v>
      </c>
    </row>
    <row r="123" spans="1:19" x14ac:dyDescent="0.25">
      <c r="A123" s="3">
        <v>153</v>
      </c>
      <c r="B123" s="18" t="s">
        <v>649</v>
      </c>
      <c r="C123" s="4" t="s">
        <v>9</v>
      </c>
      <c r="D123" s="12" t="s">
        <v>9</v>
      </c>
      <c r="E123" s="13" t="s">
        <v>643</v>
      </c>
      <c r="F123" t="s">
        <v>651</v>
      </c>
      <c r="G123" s="3" t="s">
        <v>686</v>
      </c>
      <c r="H123" s="3" t="s">
        <v>488</v>
      </c>
      <c r="I123" s="3">
        <f>VLOOKUP(H123,cardsort_group_IDs!A:B,2,0)</f>
        <v>203</v>
      </c>
      <c r="J123" s="3" t="s">
        <v>96</v>
      </c>
      <c r="K123" s="3">
        <f>VLOOKUP(J123,cardsort_subgroup_IDs!A:B,2,0)</f>
        <v>322</v>
      </c>
      <c r="L123" s="3">
        <f t="shared" ref="L123" si="28">IF(E123="-",0,1)+IF(D123="-",0,2)</f>
        <v>1</v>
      </c>
      <c r="M123" s="3">
        <f t="shared" si="10"/>
        <v>0</v>
      </c>
      <c r="N123" s="3">
        <f t="shared" si="11"/>
        <v>1</v>
      </c>
      <c r="O123" s="3">
        <f t="shared" ref="O123" si="29">SUM(M123:N123)</f>
        <v>1</v>
      </c>
      <c r="P123" s="12" t="s">
        <v>124</v>
      </c>
      <c r="Q123" s="12" t="s">
        <v>678</v>
      </c>
      <c r="R123" t="s">
        <v>681</v>
      </c>
      <c r="S123" s="12" t="s">
        <v>650</v>
      </c>
    </row>
    <row r="124" spans="1:19" x14ac:dyDescent="0.25">
      <c r="A124" s="3">
        <v>154</v>
      </c>
      <c r="B124" s="18" t="s">
        <v>655</v>
      </c>
      <c r="C124" s="4" t="s">
        <v>9</v>
      </c>
      <c r="D124" s="12" t="s">
        <v>9</v>
      </c>
      <c r="E124" s="13" t="s">
        <v>643</v>
      </c>
      <c r="F124" s="3" t="s">
        <v>656</v>
      </c>
      <c r="G124" s="3" t="s">
        <v>686</v>
      </c>
      <c r="H124" s="3" t="s">
        <v>488</v>
      </c>
      <c r="I124" s="3">
        <f>VLOOKUP(H124,cardsort_group_IDs!A:B,2,0)</f>
        <v>203</v>
      </c>
      <c r="J124" s="3" t="s">
        <v>58</v>
      </c>
      <c r="K124" s="3">
        <f>VLOOKUP(J124,cardsort_subgroup_IDs!A:B,2,0)</f>
        <v>313</v>
      </c>
      <c r="L124" s="3">
        <f t="shared" ref="L124:L126" si="30">IF(E124="-",0,1)+IF(D124="-",0,2)</f>
        <v>1</v>
      </c>
      <c r="M124" s="3">
        <f t="shared" si="10"/>
        <v>0</v>
      </c>
      <c r="N124" s="3">
        <f t="shared" si="11"/>
        <v>1</v>
      </c>
      <c r="O124" s="3">
        <f t="shared" ref="O124:O126" si="31">SUM(M124:N124)</f>
        <v>1</v>
      </c>
      <c r="P124" s="12" t="s">
        <v>124</v>
      </c>
      <c r="Q124" s="12" t="s">
        <v>676</v>
      </c>
      <c r="R124" t="s">
        <v>682</v>
      </c>
      <c r="S124" s="12" t="s">
        <v>654</v>
      </c>
    </row>
    <row r="125" spans="1:19" x14ac:dyDescent="0.25">
      <c r="A125" s="3">
        <v>155</v>
      </c>
      <c r="B125" s="18" t="s">
        <v>706</v>
      </c>
      <c r="C125" s="4" t="s">
        <v>9</v>
      </c>
      <c r="D125" s="12" t="s">
        <v>9</v>
      </c>
      <c r="E125" s="13" t="s">
        <v>708</v>
      </c>
      <c r="F125" s="3" t="s">
        <v>707</v>
      </c>
      <c r="G125" s="3" t="s">
        <v>687</v>
      </c>
      <c r="H125" s="3" t="s">
        <v>488</v>
      </c>
      <c r="I125" s="3">
        <f>VLOOKUP(H125,cardsort_group_IDs!A:B,2,0)</f>
        <v>203</v>
      </c>
      <c r="J125" s="3" t="s">
        <v>96</v>
      </c>
      <c r="K125" s="3">
        <f>VLOOKUP(J125,cardsort_subgroup_IDs!A:B,2,0)</f>
        <v>322</v>
      </c>
      <c r="L125" s="3">
        <f t="shared" si="30"/>
        <v>1</v>
      </c>
      <c r="M125" s="3">
        <f t="shared" si="10"/>
        <v>0</v>
      </c>
      <c r="N125" s="3">
        <f t="shared" si="11"/>
        <v>2</v>
      </c>
      <c r="O125" s="3">
        <f t="shared" si="31"/>
        <v>2</v>
      </c>
      <c r="P125" s="12" t="s">
        <v>577</v>
      </c>
      <c r="Q125" s="12" t="s">
        <v>676</v>
      </c>
      <c r="R125" t="s">
        <v>681</v>
      </c>
      <c r="S125" s="12" t="s">
        <v>9</v>
      </c>
    </row>
    <row r="126" spans="1:19" x14ac:dyDescent="0.25">
      <c r="A126" s="3">
        <v>156</v>
      </c>
      <c r="B126" s="18" t="s">
        <v>710</v>
      </c>
      <c r="C126" s="4" t="s">
        <v>711</v>
      </c>
      <c r="D126" s="12" t="s">
        <v>714</v>
      </c>
      <c r="E126" s="13" t="s">
        <v>715</v>
      </c>
      <c r="F126" s="3" t="s">
        <v>713</v>
      </c>
      <c r="G126" s="3" t="s">
        <v>687</v>
      </c>
      <c r="H126" s="3" t="s">
        <v>33</v>
      </c>
      <c r="I126" s="3">
        <f>VLOOKUP(H126,cardsort_group_IDs!A:B,2,0)</f>
        <v>205</v>
      </c>
      <c r="J126" s="3" t="s">
        <v>82</v>
      </c>
      <c r="K126" s="3">
        <f>VLOOKUP(J126,cardsort_subgroup_IDs!A:B,2,0)</f>
        <v>319</v>
      </c>
      <c r="L126" s="3">
        <f t="shared" si="30"/>
        <v>3</v>
      </c>
      <c r="M126" s="3">
        <f t="shared" si="10"/>
        <v>1</v>
      </c>
      <c r="N126" s="3">
        <f t="shared" si="11"/>
        <v>1</v>
      </c>
      <c r="O126" s="3">
        <f t="shared" si="31"/>
        <v>2</v>
      </c>
      <c r="P126" s="12" t="s">
        <v>577</v>
      </c>
      <c r="Q126" s="12" t="s">
        <v>677</v>
      </c>
      <c r="R126" t="s">
        <v>683</v>
      </c>
      <c r="S126" s="12" t="s">
        <v>9</v>
      </c>
    </row>
    <row r="127" spans="1:19" x14ac:dyDescent="0.25">
      <c r="A127" s="3">
        <v>157</v>
      </c>
      <c r="B127" s="18" t="s">
        <v>719</v>
      </c>
      <c r="C127" t="s">
        <v>720</v>
      </c>
      <c r="D127" s="12" t="s">
        <v>732</v>
      </c>
      <c r="E127" s="13" t="s">
        <v>722</v>
      </c>
      <c r="F127" s="3" t="s">
        <v>721</v>
      </c>
      <c r="G127" s="3" t="s">
        <v>687</v>
      </c>
      <c r="H127" s="3" t="s">
        <v>488</v>
      </c>
      <c r="I127" s="3">
        <f>VLOOKUP(H127,cardsort_group_IDs!A:B,2,0)</f>
        <v>203</v>
      </c>
      <c r="J127" s="3" t="s">
        <v>23</v>
      </c>
      <c r="K127" s="3">
        <f>VLOOKUP(J127,cardsort_subgroup_IDs!A:B,2,0)</f>
        <v>305</v>
      </c>
      <c r="L127" s="3">
        <f t="shared" ref="L127" si="32">IF(E127="-",0,1)+IF(D127="-",0,2)</f>
        <v>3</v>
      </c>
      <c r="M127" s="3">
        <f t="shared" ref="M127:M128" si="33">IF(D127="-",0,LEN(D127)-LEN(SUBSTITUTE(D127,";",""))+1)</f>
        <v>4</v>
      </c>
      <c r="N127" s="3">
        <f t="shared" ref="N127" si="34">IF(E127="-",0,LEN(E127)-LEN(SUBSTITUTE(E127,";",""))+1)</f>
        <v>1</v>
      </c>
      <c r="O127" s="3">
        <f t="shared" ref="O127" si="35">SUM(M127:N127)</f>
        <v>5</v>
      </c>
      <c r="P127" s="12" t="s">
        <v>577</v>
      </c>
      <c r="Q127" s="12" t="s">
        <v>676</v>
      </c>
      <c r="R127" t="s">
        <v>681</v>
      </c>
      <c r="S127" s="12" t="s">
        <v>734</v>
      </c>
    </row>
    <row r="128" spans="1:19" x14ac:dyDescent="0.25">
      <c r="A128" s="3">
        <v>158</v>
      </c>
      <c r="B128" s="18" t="s">
        <v>777</v>
      </c>
      <c r="C128" s="4" t="s">
        <v>781</v>
      </c>
      <c r="D128" s="12" t="s">
        <v>9</v>
      </c>
      <c r="E128" s="10">
        <v>505</v>
      </c>
      <c r="F128" s="3" t="s">
        <v>778</v>
      </c>
      <c r="G128" s="3" t="s">
        <v>687</v>
      </c>
      <c r="H128" s="3" t="s">
        <v>33</v>
      </c>
      <c r="I128" s="3">
        <f>VLOOKUP(H128,cardsort_group_IDs!A:B,2,0)</f>
        <v>205</v>
      </c>
      <c r="J128" s="3" t="s">
        <v>34</v>
      </c>
      <c r="K128" s="3">
        <f>VLOOKUP(J128,cardsort_subgroup_IDs!A:B,2,0)</f>
        <v>308</v>
      </c>
      <c r="L128" s="3">
        <f t="shared" ref="L128" si="36">IF(E128="-",0,1)+IF(D128="-",0,2)</f>
        <v>1</v>
      </c>
      <c r="M128" s="3">
        <f t="shared" si="33"/>
        <v>0</v>
      </c>
      <c r="N128" s="3">
        <f t="shared" ref="N128" si="37">IF(E128="-",0,LEN(E128)-LEN(SUBSTITUTE(E128,";",""))+1)</f>
        <v>1</v>
      </c>
      <c r="O128" s="3">
        <f t="shared" ref="O128" si="38">SUM(M128:N128)</f>
        <v>1</v>
      </c>
      <c r="P128" s="12" t="s">
        <v>577</v>
      </c>
      <c r="Q128" s="12" t="s">
        <v>677</v>
      </c>
      <c r="R128" t="s">
        <v>682</v>
      </c>
      <c r="S128" s="12" t="s">
        <v>9</v>
      </c>
    </row>
  </sheetData>
  <autoFilter ref="A1:M126"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37" workbookViewId="0">
      <selection activeCell="A66" sqref="A6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387</v>
      </c>
      <c r="B1" t="s">
        <v>388</v>
      </c>
      <c r="C1" t="s">
        <v>659</v>
      </c>
      <c r="D1" s="8" t="s">
        <v>389</v>
      </c>
    </row>
    <row r="2" spans="1:4" x14ac:dyDescent="0.25">
      <c r="A2" s="10">
        <v>5</v>
      </c>
      <c r="B2" t="s">
        <v>281</v>
      </c>
      <c r="C2" t="s">
        <v>669</v>
      </c>
      <c r="D2" t="s">
        <v>282</v>
      </c>
    </row>
    <row r="3" spans="1:4" x14ac:dyDescent="0.25">
      <c r="A3" s="10">
        <v>6</v>
      </c>
      <c r="B3" t="s">
        <v>283</v>
      </c>
      <c r="C3" t="s">
        <v>669</v>
      </c>
      <c r="D3" t="s">
        <v>284</v>
      </c>
    </row>
    <row r="4" spans="1:4" x14ac:dyDescent="0.25">
      <c r="A4" s="10" t="s">
        <v>490</v>
      </c>
      <c r="B4" t="s">
        <v>346</v>
      </c>
      <c r="C4" t="s">
        <v>660</v>
      </c>
      <c r="D4" t="s">
        <v>284</v>
      </c>
    </row>
    <row r="5" spans="1:4" x14ac:dyDescent="0.25">
      <c r="A5" s="10">
        <v>7</v>
      </c>
      <c r="B5" t="s">
        <v>285</v>
      </c>
      <c r="C5" t="s">
        <v>669</v>
      </c>
      <c r="D5" t="s">
        <v>286</v>
      </c>
    </row>
    <row r="6" spans="1:4" x14ac:dyDescent="0.25">
      <c r="A6" s="10">
        <v>9</v>
      </c>
      <c r="B6" t="s">
        <v>287</v>
      </c>
      <c r="C6" t="s">
        <v>669</v>
      </c>
      <c r="D6" s="8" t="s">
        <v>288</v>
      </c>
    </row>
    <row r="7" spans="1:4" x14ac:dyDescent="0.25">
      <c r="A7" s="10">
        <v>11</v>
      </c>
      <c r="B7" t="s">
        <v>289</v>
      </c>
      <c r="C7" t="s">
        <v>669</v>
      </c>
      <c r="D7" s="8" t="s">
        <v>290</v>
      </c>
    </row>
    <row r="8" spans="1:4" x14ac:dyDescent="0.25">
      <c r="A8" s="10">
        <v>13</v>
      </c>
      <c r="B8" t="s">
        <v>291</v>
      </c>
      <c r="C8" t="s">
        <v>669</v>
      </c>
      <c r="D8" s="8" t="s">
        <v>292</v>
      </c>
    </row>
    <row r="9" spans="1:4" x14ac:dyDescent="0.25">
      <c r="A9" s="10">
        <v>14</v>
      </c>
      <c r="B9" t="s">
        <v>293</v>
      </c>
      <c r="C9" t="s">
        <v>669</v>
      </c>
      <c r="D9" s="8" t="s">
        <v>294</v>
      </c>
    </row>
    <row r="10" spans="1:4" x14ac:dyDescent="0.25">
      <c r="A10" s="10">
        <v>15</v>
      </c>
      <c r="B10" t="s">
        <v>295</v>
      </c>
      <c r="C10" t="s">
        <v>669</v>
      </c>
      <c r="D10" s="8" t="s">
        <v>296</v>
      </c>
    </row>
    <row r="11" spans="1:4" x14ac:dyDescent="0.25">
      <c r="A11" s="10">
        <v>17</v>
      </c>
      <c r="B11" t="s">
        <v>297</v>
      </c>
      <c r="C11" t="s">
        <v>669</v>
      </c>
      <c r="D11" s="8" t="s">
        <v>298</v>
      </c>
    </row>
    <row r="12" spans="1:4" x14ac:dyDescent="0.25">
      <c r="A12" s="10">
        <v>19</v>
      </c>
      <c r="B12" t="s">
        <v>518</v>
      </c>
      <c r="C12" t="s">
        <v>669</v>
      </c>
      <c r="D12" t="s">
        <v>528</v>
      </c>
    </row>
    <row r="13" spans="1:4" x14ac:dyDescent="0.25">
      <c r="A13" s="10">
        <v>20</v>
      </c>
      <c r="B13" t="s">
        <v>299</v>
      </c>
      <c r="C13" t="s">
        <v>669</v>
      </c>
      <c r="D13" s="8" t="s">
        <v>300</v>
      </c>
    </row>
    <row r="14" spans="1:4" x14ac:dyDescent="0.25">
      <c r="A14" s="10">
        <v>21</v>
      </c>
      <c r="B14" t="s">
        <v>301</v>
      </c>
      <c r="C14" t="s">
        <v>669</v>
      </c>
      <c r="D14" s="8" t="s">
        <v>302</v>
      </c>
    </row>
    <row r="15" spans="1:4" x14ac:dyDescent="0.25">
      <c r="A15" s="10">
        <v>31</v>
      </c>
      <c r="B15" t="s">
        <v>303</v>
      </c>
      <c r="C15" t="s">
        <v>669</v>
      </c>
      <c r="D15" s="8" t="s">
        <v>304</v>
      </c>
    </row>
    <row r="16" spans="1:4" x14ac:dyDescent="0.25">
      <c r="A16" s="10">
        <v>32</v>
      </c>
      <c r="B16" t="s">
        <v>305</v>
      </c>
      <c r="C16" t="s">
        <v>669</v>
      </c>
      <c r="D16" s="8" t="s">
        <v>306</v>
      </c>
    </row>
    <row r="17" spans="1:4" x14ac:dyDescent="0.25">
      <c r="A17" s="10">
        <v>36</v>
      </c>
      <c r="B17" t="s">
        <v>307</v>
      </c>
      <c r="C17" t="s">
        <v>669</v>
      </c>
      <c r="D17" s="8" t="s">
        <v>308</v>
      </c>
    </row>
    <row r="18" spans="1:4" x14ac:dyDescent="0.25">
      <c r="A18" s="10">
        <v>39</v>
      </c>
      <c r="B18" t="s">
        <v>520</v>
      </c>
      <c r="C18" t="s">
        <v>669</v>
      </c>
      <c r="D18" t="s">
        <v>527</v>
      </c>
    </row>
    <row r="19" spans="1:4" x14ac:dyDescent="0.25">
      <c r="A19" s="10">
        <v>43</v>
      </c>
      <c r="B19" t="s">
        <v>309</v>
      </c>
      <c r="C19" t="s">
        <v>669</v>
      </c>
      <c r="D19" s="8" t="s">
        <v>310</v>
      </c>
    </row>
    <row r="20" spans="1:4" x14ac:dyDescent="0.25">
      <c r="A20" s="10">
        <v>45</v>
      </c>
      <c r="B20" t="s">
        <v>311</v>
      </c>
      <c r="C20" t="s">
        <v>669</v>
      </c>
      <c r="D20" s="8" t="s">
        <v>312</v>
      </c>
    </row>
    <row r="21" spans="1:4" x14ac:dyDescent="0.25">
      <c r="A21" s="10">
        <v>46</v>
      </c>
      <c r="B21" t="s">
        <v>313</v>
      </c>
      <c r="C21" t="s">
        <v>669</v>
      </c>
      <c r="D21" s="8" t="s">
        <v>314</v>
      </c>
    </row>
    <row r="22" spans="1:4" x14ac:dyDescent="0.25">
      <c r="A22" s="10">
        <v>47</v>
      </c>
      <c r="B22" t="s">
        <v>315</v>
      </c>
      <c r="C22" t="s">
        <v>669</v>
      </c>
      <c r="D22" s="8" t="s">
        <v>316</v>
      </c>
    </row>
    <row r="23" spans="1:4" x14ac:dyDescent="0.25">
      <c r="A23" s="10">
        <v>49</v>
      </c>
      <c r="B23" t="s">
        <v>317</v>
      </c>
      <c r="C23" t="s">
        <v>669</v>
      </c>
      <c r="D23" s="8" t="s">
        <v>318</v>
      </c>
    </row>
    <row r="24" spans="1:4" x14ac:dyDescent="0.25">
      <c r="A24" s="10">
        <v>50</v>
      </c>
      <c r="B24" t="s">
        <v>319</v>
      </c>
      <c r="C24" t="s">
        <v>669</v>
      </c>
      <c r="D24" s="8" t="s">
        <v>320</v>
      </c>
    </row>
    <row r="25" spans="1:4" x14ac:dyDescent="0.25">
      <c r="A25" s="10">
        <v>51</v>
      </c>
      <c r="B25" t="s">
        <v>321</v>
      </c>
      <c r="C25" t="s">
        <v>669</v>
      </c>
      <c r="D25" s="8" t="s">
        <v>322</v>
      </c>
    </row>
    <row r="26" spans="1:4" x14ac:dyDescent="0.25">
      <c r="A26" s="10">
        <v>52</v>
      </c>
      <c r="B26" t="s">
        <v>323</v>
      </c>
      <c r="C26" t="s">
        <v>669</v>
      </c>
      <c r="D26" s="8" t="s">
        <v>324</v>
      </c>
    </row>
    <row r="27" spans="1:4" x14ac:dyDescent="0.25">
      <c r="A27" s="10">
        <v>57</v>
      </c>
      <c r="B27" t="s">
        <v>325</v>
      </c>
      <c r="C27" t="s">
        <v>669</v>
      </c>
      <c r="D27" s="8" t="s">
        <v>326</v>
      </c>
    </row>
    <row r="28" spans="1:4" x14ac:dyDescent="0.25">
      <c r="A28" s="10">
        <v>62</v>
      </c>
      <c r="B28" t="s">
        <v>327</v>
      </c>
      <c r="C28" t="s">
        <v>669</v>
      </c>
      <c r="D28" s="8" t="s">
        <v>328</v>
      </c>
    </row>
    <row r="29" spans="1:4" x14ac:dyDescent="0.25">
      <c r="A29" s="10">
        <v>70</v>
      </c>
      <c r="B29" t="s">
        <v>329</v>
      </c>
      <c r="C29" t="s">
        <v>669</v>
      </c>
      <c r="D29" s="8" t="s">
        <v>330</v>
      </c>
    </row>
    <row r="30" spans="1:4" x14ac:dyDescent="0.25">
      <c r="A30" s="10">
        <v>87</v>
      </c>
      <c r="B30" t="s">
        <v>331</v>
      </c>
      <c r="C30" t="s">
        <v>669</v>
      </c>
      <c r="D30" s="8" t="s">
        <v>332</v>
      </c>
    </row>
    <row r="31" spans="1:4" x14ac:dyDescent="0.25">
      <c r="A31" s="10">
        <v>92</v>
      </c>
      <c r="B31" t="s">
        <v>533</v>
      </c>
      <c r="C31" t="s">
        <v>669</v>
      </c>
      <c r="D31" s="8" t="s">
        <v>333</v>
      </c>
    </row>
    <row r="32" spans="1:4" ht="75" x14ac:dyDescent="0.25">
      <c r="A32" s="10">
        <v>96</v>
      </c>
      <c r="B32" t="s">
        <v>334</v>
      </c>
      <c r="C32" t="s">
        <v>669</v>
      </c>
      <c r="D32" s="8" t="s">
        <v>335</v>
      </c>
    </row>
    <row r="33" spans="1:4" x14ac:dyDescent="0.25">
      <c r="A33" s="10">
        <v>101</v>
      </c>
      <c r="B33" t="s">
        <v>336</v>
      </c>
      <c r="C33" t="s">
        <v>669</v>
      </c>
      <c r="D33" s="8" t="s">
        <v>337</v>
      </c>
    </row>
    <row r="34" spans="1:4" ht="75" x14ac:dyDescent="0.25">
      <c r="A34" s="10">
        <v>105</v>
      </c>
      <c r="B34" t="s">
        <v>338</v>
      </c>
      <c r="C34" t="s">
        <v>669</v>
      </c>
      <c r="D34" s="8" t="s">
        <v>339</v>
      </c>
    </row>
    <row r="35" spans="1:4" x14ac:dyDescent="0.25">
      <c r="A35" s="10">
        <v>108</v>
      </c>
      <c r="B35" t="s">
        <v>340</v>
      </c>
      <c r="C35" t="s">
        <v>669</v>
      </c>
      <c r="D35" s="8" t="s">
        <v>341</v>
      </c>
    </row>
    <row r="36" spans="1:4" x14ac:dyDescent="0.25">
      <c r="A36" s="10">
        <v>111</v>
      </c>
      <c r="B36" t="s">
        <v>342</v>
      </c>
      <c r="C36" t="s">
        <v>669</v>
      </c>
      <c r="D36" s="8" t="s">
        <v>343</v>
      </c>
    </row>
    <row r="37" spans="1:4" x14ac:dyDescent="0.25">
      <c r="A37" s="10">
        <v>115</v>
      </c>
      <c r="B37" t="s">
        <v>344</v>
      </c>
      <c r="C37" t="s">
        <v>669</v>
      </c>
      <c r="D37" s="8" t="s">
        <v>345</v>
      </c>
    </row>
    <row r="38" spans="1:4" x14ac:dyDescent="0.25">
      <c r="A38" s="10">
        <v>131</v>
      </c>
      <c r="B38" t="s">
        <v>347</v>
      </c>
      <c r="C38" t="s">
        <v>669</v>
      </c>
      <c r="D38" s="8" t="s">
        <v>348</v>
      </c>
    </row>
    <row r="39" spans="1:4" s="9" customFormat="1" x14ac:dyDescent="0.25">
      <c r="A39" s="10">
        <v>146</v>
      </c>
      <c r="B39" t="s">
        <v>349</v>
      </c>
      <c r="C39" t="s">
        <v>669</v>
      </c>
      <c r="D39" s="8" t="s">
        <v>350</v>
      </c>
    </row>
    <row r="40" spans="1:4" x14ac:dyDescent="0.25">
      <c r="A40" s="10">
        <v>160</v>
      </c>
      <c r="B40" t="s">
        <v>351</v>
      </c>
      <c r="C40" t="s">
        <v>669</v>
      </c>
      <c r="D40" s="8" t="s">
        <v>352</v>
      </c>
    </row>
    <row r="41" spans="1:4" ht="30" x14ac:dyDescent="0.25">
      <c r="A41" s="10">
        <v>170</v>
      </c>
      <c r="B41" t="s">
        <v>36</v>
      </c>
      <c r="C41" t="s">
        <v>660</v>
      </c>
      <c r="D41" s="8" t="s">
        <v>353</v>
      </c>
    </row>
    <row r="42" spans="1:4" ht="30" x14ac:dyDescent="0.25">
      <c r="A42" s="10">
        <v>182</v>
      </c>
      <c r="B42" t="s">
        <v>354</v>
      </c>
      <c r="C42" t="s">
        <v>669</v>
      </c>
      <c r="D42" s="8" t="s">
        <v>355</v>
      </c>
    </row>
    <row r="43" spans="1:4" x14ac:dyDescent="0.25">
      <c r="A43" s="10">
        <v>183</v>
      </c>
      <c r="B43" t="s">
        <v>356</v>
      </c>
      <c r="C43" t="s">
        <v>669</v>
      </c>
      <c r="D43" s="8" t="s">
        <v>357</v>
      </c>
    </row>
    <row r="44" spans="1:4" x14ac:dyDescent="0.25">
      <c r="A44" s="10">
        <v>192</v>
      </c>
      <c r="B44" t="s">
        <v>531</v>
      </c>
      <c r="C44" t="s">
        <v>669</v>
      </c>
      <c r="D44" s="8" t="s">
        <v>358</v>
      </c>
    </row>
    <row r="45" spans="1:4" ht="30" x14ac:dyDescent="0.25">
      <c r="A45" s="10">
        <v>199</v>
      </c>
      <c r="B45" t="s">
        <v>568</v>
      </c>
      <c r="C45" t="s">
        <v>660</v>
      </c>
      <c r="D45" s="8" t="s">
        <v>359</v>
      </c>
    </row>
    <row r="46" spans="1:4" ht="30" x14ac:dyDescent="0.25">
      <c r="A46" s="10">
        <v>201</v>
      </c>
      <c r="B46" t="s">
        <v>19</v>
      </c>
      <c r="C46" t="s">
        <v>664</v>
      </c>
      <c r="D46" s="8" t="s">
        <v>360</v>
      </c>
    </row>
    <row r="47" spans="1:4" x14ac:dyDescent="0.25">
      <c r="A47" s="10">
        <v>202</v>
      </c>
      <c r="B47" t="s">
        <v>133</v>
      </c>
      <c r="C47" t="s">
        <v>664</v>
      </c>
      <c r="D47" s="8" t="s">
        <v>362</v>
      </c>
    </row>
    <row r="48" spans="1:4" x14ac:dyDescent="0.25">
      <c r="A48" s="10">
        <v>203</v>
      </c>
      <c r="B48" t="s">
        <v>476</v>
      </c>
      <c r="C48" t="s">
        <v>660</v>
      </c>
      <c r="D48" t="s">
        <v>517</v>
      </c>
    </row>
    <row r="49" spans="1:4" x14ac:dyDescent="0.25">
      <c r="A49" s="10">
        <v>209</v>
      </c>
      <c r="B49" t="s">
        <v>238</v>
      </c>
      <c r="C49" t="s">
        <v>660</v>
      </c>
      <c r="D49" s="8" t="s">
        <v>363</v>
      </c>
    </row>
    <row r="50" spans="1:4" x14ac:dyDescent="0.25">
      <c r="A50" s="10">
        <v>214</v>
      </c>
      <c r="B50" t="s">
        <v>364</v>
      </c>
      <c r="C50" t="s">
        <v>669</v>
      </c>
      <c r="D50" s="8" t="s">
        <v>532</v>
      </c>
    </row>
    <row r="51" spans="1:4" x14ac:dyDescent="0.25">
      <c r="A51" s="10">
        <v>232</v>
      </c>
      <c r="B51" t="s">
        <v>365</v>
      </c>
      <c r="D51" s="8" t="s">
        <v>366</v>
      </c>
    </row>
    <row r="52" spans="1:4" x14ac:dyDescent="0.25">
      <c r="A52" s="10">
        <v>233</v>
      </c>
      <c r="B52" t="s">
        <v>367</v>
      </c>
      <c r="C52" t="s">
        <v>669</v>
      </c>
      <c r="D52" s="8" t="s">
        <v>368</v>
      </c>
    </row>
    <row r="53" spans="1:4" x14ac:dyDescent="0.25">
      <c r="A53" s="10">
        <v>234</v>
      </c>
      <c r="B53" t="s">
        <v>369</v>
      </c>
      <c r="C53" t="s">
        <v>669</v>
      </c>
      <c r="D53" s="8" t="s">
        <v>370</v>
      </c>
    </row>
    <row r="54" spans="1:4" x14ac:dyDescent="0.25">
      <c r="A54" s="10">
        <v>235</v>
      </c>
      <c r="B54" t="s">
        <v>371</v>
      </c>
      <c r="C54" t="s">
        <v>669</v>
      </c>
      <c r="D54" s="8" t="s">
        <v>372</v>
      </c>
    </row>
    <row r="55" spans="1:4" x14ac:dyDescent="0.25">
      <c r="A55" s="10">
        <v>236</v>
      </c>
      <c r="B55" t="s">
        <v>373</v>
      </c>
      <c r="C55" t="s">
        <v>669</v>
      </c>
      <c r="D55" s="8" t="s">
        <v>374</v>
      </c>
    </row>
    <row r="56" spans="1:4" x14ac:dyDescent="0.25">
      <c r="A56" s="10">
        <v>237</v>
      </c>
      <c r="B56" t="s">
        <v>375</v>
      </c>
      <c r="C56" t="s">
        <v>669</v>
      </c>
      <c r="D56" s="8" t="s">
        <v>376</v>
      </c>
    </row>
    <row r="57" spans="1:4" x14ac:dyDescent="0.25">
      <c r="A57" s="10">
        <v>238</v>
      </c>
      <c r="B57" t="s">
        <v>377</v>
      </c>
      <c r="C57" t="s">
        <v>669</v>
      </c>
      <c r="D57" s="8" t="s">
        <v>378</v>
      </c>
    </row>
    <row r="58" spans="1:4" x14ac:dyDescent="0.25">
      <c r="A58" s="10">
        <v>240</v>
      </c>
      <c r="B58" t="s">
        <v>379</v>
      </c>
      <c r="C58" t="s">
        <v>669</v>
      </c>
      <c r="D58" s="8" t="s">
        <v>380</v>
      </c>
    </row>
    <row r="59" spans="1:4" x14ac:dyDescent="0.25">
      <c r="A59" s="10">
        <v>241</v>
      </c>
      <c r="B59" t="s">
        <v>381</v>
      </c>
      <c r="C59" t="s">
        <v>669</v>
      </c>
      <c r="D59" s="8" t="s">
        <v>382</v>
      </c>
    </row>
    <row r="60" spans="1:4" x14ac:dyDescent="0.25">
      <c r="A60" s="10">
        <v>243</v>
      </c>
      <c r="B60" t="s">
        <v>383</v>
      </c>
      <c r="C60" t="s">
        <v>669</v>
      </c>
      <c r="D60" s="8" t="s">
        <v>384</v>
      </c>
    </row>
    <row r="61" spans="1:4" x14ac:dyDescent="0.25">
      <c r="A61" s="10">
        <v>244</v>
      </c>
      <c r="B61" t="s">
        <v>385</v>
      </c>
      <c r="C61" t="s">
        <v>669</v>
      </c>
      <c r="D61" s="8" t="s">
        <v>386</v>
      </c>
    </row>
    <row r="62" spans="1:4" x14ac:dyDescent="0.25">
      <c r="A62" s="10">
        <v>501</v>
      </c>
      <c r="B62" t="s">
        <v>391</v>
      </c>
      <c r="C62" t="s">
        <v>669</v>
      </c>
      <c r="D62" s="8" t="s">
        <v>390</v>
      </c>
    </row>
    <row r="63" spans="1:4" x14ac:dyDescent="0.25">
      <c r="A63" s="10">
        <v>502</v>
      </c>
      <c r="B63" t="s">
        <v>393</v>
      </c>
      <c r="C63" t="s">
        <v>669</v>
      </c>
      <c r="D63" s="8" t="s">
        <v>392</v>
      </c>
    </row>
    <row r="64" spans="1:4" x14ac:dyDescent="0.25">
      <c r="A64" s="10">
        <v>503</v>
      </c>
      <c r="B64" t="s">
        <v>244</v>
      </c>
      <c r="C64" t="s">
        <v>669</v>
      </c>
      <c r="D64" s="8" t="s">
        <v>431</v>
      </c>
    </row>
    <row r="65" spans="1:4" x14ac:dyDescent="0.25">
      <c r="A65" s="10">
        <v>504</v>
      </c>
      <c r="B65" t="s">
        <v>432</v>
      </c>
      <c r="C65" t="s">
        <v>669</v>
      </c>
      <c r="D65" s="8" t="s">
        <v>433</v>
      </c>
    </row>
    <row r="66" spans="1:4" x14ac:dyDescent="0.25">
      <c r="A66" s="10">
        <v>505</v>
      </c>
      <c r="B66" t="s">
        <v>394</v>
      </c>
      <c r="C66" t="s">
        <v>669</v>
      </c>
      <c r="D66" s="8" t="s">
        <v>434</v>
      </c>
    </row>
    <row r="67" spans="1:4" ht="30" x14ac:dyDescent="0.25">
      <c r="A67" s="10">
        <v>506</v>
      </c>
      <c r="B67" t="s">
        <v>63</v>
      </c>
      <c r="C67" t="s">
        <v>669</v>
      </c>
      <c r="D67" s="17" t="s">
        <v>718</v>
      </c>
    </row>
    <row r="68" spans="1:4" x14ac:dyDescent="0.25">
      <c r="A68" s="10">
        <v>507</v>
      </c>
      <c r="B68" t="s">
        <v>568</v>
      </c>
      <c r="C68" t="s">
        <v>660</v>
      </c>
      <c r="D68" s="8" t="s">
        <v>395</v>
      </c>
    </row>
    <row r="69" spans="1:4" x14ac:dyDescent="0.25">
      <c r="A69" s="10">
        <v>508</v>
      </c>
      <c r="B69" t="s">
        <v>67</v>
      </c>
      <c r="C69" t="s">
        <v>669</v>
      </c>
      <c r="D69" s="8" t="s">
        <v>396</v>
      </c>
    </row>
    <row r="70" spans="1:4" x14ac:dyDescent="0.25">
      <c r="A70" s="10">
        <v>509</v>
      </c>
      <c r="B70" t="s">
        <v>705</v>
      </c>
      <c r="C70" t="s">
        <v>669</v>
      </c>
      <c r="D70" s="8" t="s">
        <v>435</v>
      </c>
    </row>
    <row r="71" spans="1:4" x14ac:dyDescent="0.25">
      <c r="A71" s="10">
        <v>510</v>
      </c>
      <c r="B71" t="s">
        <v>522</v>
      </c>
      <c r="C71" t="s">
        <v>660</v>
      </c>
      <c r="D71" t="s">
        <v>521</v>
      </c>
    </row>
    <row r="72" spans="1:4" x14ac:dyDescent="0.25">
      <c r="A72" s="10" t="s">
        <v>445</v>
      </c>
      <c r="B72" t="s">
        <v>446</v>
      </c>
      <c r="C72" t="s">
        <v>663</v>
      </c>
      <c r="D72" s="8" t="s">
        <v>348</v>
      </c>
    </row>
    <row r="73" spans="1:4" x14ac:dyDescent="0.25">
      <c r="A73" s="10" t="s">
        <v>447</v>
      </c>
      <c r="B73" t="s">
        <v>448</v>
      </c>
      <c r="C73" t="s">
        <v>660</v>
      </c>
      <c r="D73" s="8" t="s">
        <v>348</v>
      </c>
    </row>
    <row r="74" spans="1:4" x14ac:dyDescent="0.25">
      <c r="A74" s="10" t="s">
        <v>449</v>
      </c>
      <c r="B74" t="s">
        <v>671</v>
      </c>
      <c r="C74" t="s">
        <v>663</v>
      </c>
      <c r="D74" s="8" t="s">
        <v>348</v>
      </c>
    </row>
    <row r="75" spans="1:4" x14ac:dyDescent="0.25">
      <c r="A75" s="10" t="s">
        <v>450</v>
      </c>
      <c r="B75" t="s">
        <v>451</v>
      </c>
      <c r="C75" t="s">
        <v>664</v>
      </c>
      <c r="D75" s="8" t="s">
        <v>348</v>
      </c>
    </row>
    <row r="76" spans="1:4" x14ac:dyDescent="0.25">
      <c r="A76" s="10" t="s">
        <v>452</v>
      </c>
      <c r="B76" t="s">
        <v>204</v>
      </c>
      <c r="C76" t="s">
        <v>660</v>
      </c>
      <c r="D76" s="8" t="s">
        <v>348</v>
      </c>
    </row>
    <row r="77" spans="1:4" x14ac:dyDescent="0.25">
      <c r="A77" s="10" t="s">
        <v>453</v>
      </c>
      <c r="B77" t="s">
        <v>454</v>
      </c>
      <c r="C77" t="s">
        <v>664</v>
      </c>
      <c r="D77" s="8" t="s">
        <v>348</v>
      </c>
    </row>
    <row r="78" spans="1:4" x14ac:dyDescent="0.25">
      <c r="A78" s="10" t="s">
        <v>455</v>
      </c>
      <c r="B78" t="s">
        <v>456</v>
      </c>
      <c r="C78" t="s">
        <v>660</v>
      </c>
      <c r="D78" s="8" t="s">
        <v>348</v>
      </c>
    </row>
    <row r="79" spans="1:4" x14ac:dyDescent="0.25">
      <c r="A79" s="10" t="s">
        <v>457</v>
      </c>
      <c r="B79" t="s">
        <v>112</v>
      </c>
      <c r="C79" t="s">
        <v>663</v>
      </c>
      <c r="D79" s="8" t="s">
        <v>348</v>
      </c>
    </row>
    <row r="80" spans="1:4" x14ac:dyDescent="0.25">
      <c r="A80" s="10" t="s">
        <v>458</v>
      </c>
      <c r="B80" t="s">
        <v>672</v>
      </c>
      <c r="C80" t="s">
        <v>660</v>
      </c>
      <c r="D80" s="8" t="s">
        <v>348</v>
      </c>
    </row>
    <row r="81" spans="1:4" x14ac:dyDescent="0.25">
      <c r="A81" s="10" t="s">
        <v>459</v>
      </c>
      <c r="B81" t="s">
        <v>568</v>
      </c>
      <c r="C81" t="s">
        <v>660</v>
      </c>
      <c r="D81" s="8" t="s">
        <v>348</v>
      </c>
    </row>
    <row r="82" spans="1:4" x14ac:dyDescent="0.25">
      <c r="A82" s="10" t="s">
        <v>428</v>
      </c>
      <c r="B82" t="s">
        <v>460</v>
      </c>
      <c r="C82" t="s">
        <v>660</v>
      </c>
      <c r="D82" s="8" t="s">
        <v>348</v>
      </c>
    </row>
    <row r="83" spans="1:4" x14ac:dyDescent="0.25">
      <c r="A83" s="10" t="s">
        <v>461</v>
      </c>
      <c r="B83" t="s">
        <v>658</v>
      </c>
      <c r="C83" t="s">
        <v>660</v>
      </c>
      <c r="D83" s="8" t="s">
        <v>348</v>
      </c>
    </row>
    <row r="84" spans="1:4" x14ac:dyDescent="0.25">
      <c r="A84" s="10" t="s">
        <v>462</v>
      </c>
      <c r="B84" t="s">
        <v>463</v>
      </c>
      <c r="C84" t="s">
        <v>660</v>
      </c>
      <c r="D84" s="8" t="s">
        <v>348</v>
      </c>
    </row>
    <row r="85" spans="1:4" x14ac:dyDescent="0.25">
      <c r="A85" s="10" t="s">
        <v>464</v>
      </c>
      <c r="B85" t="s">
        <v>465</v>
      </c>
      <c r="C85" t="s">
        <v>660</v>
      </c>
      <c r="D85" s="8" t="s">
        <v>348</v>
      </c>
    </row>
    <row r="86" spans="1:4" x14ac:dyDescent="0.25">
      <c r="A86" s="10" t="s">
        <v>466</v>
      </c>
      <c r="B86" t="s">
        <v>239</v>
      </c>
      <c r="C86" t="s">
        <v>660</v>
      </c>
      <c r="D86" s="8" t="s">
        <v>348</v>
      </c>
    </row>
    <row r="87" spans="1:4" x14ac:dyDescent="0.25">
      <c r="A87" s="10" t="s">
        <v>467</v>
      </c>
      <c r="B87" t="s">
        <v>468</v>
      </c>
      <c r="C87" t="s">
        <v>669</v>
      </c>
      <c r="D87" s="8" t="s">
        <v>348</v>
      </c>
    </row>
    <row r="88" spans="1:4" x14ac:dyDescent="0.25">
      <c r="A88" s="10" t="s">
        <v>469</v>
      </c>
      <c r="B88" t="s">
        <v>470</v>
      </c>
      <c r="C88" t="s">
        <v>660</v>
      </c>
      <c r="D88" s="8" t="s">
        <v>348</v>
      </c>
    </row>
    <row r="89" spans="1:4" x14ac:dyDescent="0.25">
      <c r="A89" s="10" t="s">
        <v>471</v>
      </c>
      <c r="B89" t="s">
        <v>472</v>
      </c>
      <c r="C89" t="s">
        <v>660</v>
      </c>
      <c r="D89" s="8" t="s">
        <v>348</v>
      </c>
    </row>
    <row r="90" spans="1:4" x14ac:dyDescent="0.25">
      <c r="A90" s="10" t="s">
        <v>473</v>
      </c>
      <c r="B90" t="s">
        <v>474</v>
      </c>
      <c r="C90" t="s">
        <v>664</v>
      </c>
      <c r="D90" s="8" t="s">
        <v>348</v>
      </c>
    </row>
    <row r="91" spans="1:4" x14ac:dyDescent="0.25">
      <c r="A91" s="10" t="s">
        <v>475</v>
      </c>
      <c r="B91" t="s">
        <v>476</v>
      </c>
      <c r="C91" t="s">
        <v>660</v>
      </c>
      <c r="D91" s="8" t="s">
        <v>348</v>
      </c>
    </row>
    <row r="92" spans="1:4" x14ac:dyDescent="0.25">
      <c r="A92" s="10" t="s">
        <v>478</v>
      </c>
      <c r="B92" t="s">
        <v>474</v>
      </c>
      <c r="C92" t="s">
        <v>664</v>
      </c>
      <c r="D92" s="8" t="s">
        <v>350</v>
      </c>
    </row>
    <row r="93" spans="1:4" x14ac:dyDescent="0.25">
      <c r="A93" s="10" t="s">
        <v>479</v>
      </c>
      <c r="B93" t="s">
        <v>346</v>
      </c>
      <c r="C93" t="s">
        <v>660</v>
      </c>
      <c r="D93" s="8" t="s">
        <v>350</v>
      </c>
    </row>
    <row r="94" spans="1:4" x14ac:dyDescent="0.25">
      <c r="A94" s="10" t="s">
        <v>477</v>
      </c>
      <c r="B94" t="s">
        <v>460</v>
      </c>
      <c r="C94" t="s">
        <v>660</v>
      </c>
      <c r="D94" s="8" t="s">
        <v>357</v>
      </c>
    </row>
    <row r="95" spans="1:4" x14ac:dyDescent="0.25">
      <c r="A95" s="10" t="s">
        <v>404</v>
      </c>
      <c r="B95" t="s">
        <v>133</v>
      </c>
      <c r="C95" t="s">
        <v>664</v>
      </c>
      <c r="D95" s="8" t="s">
        <v>362</v>
      </c>
    </row>
    <row r="96" spans="1:4" x14ac:dyDescent="0.25">
      <c r="A96" s="10" t="s">
        <v>503</v>
      </c>
      <c r="B96" t="s">
        <v>346</v>
      </c>
      <c r="C96" t="s">
        <v>660</v>
      </c>
      <c r="D96" s="8" t="s">
        <v>300</v>
      </c>
    </row>
    <row r="97" spans="1:4" x14ac:dyDescent="0.25">
      <c r="A97" s="10" t="s">
        <v>512</v>
      </c>
      <c r="B97" t="s">
        <v>239</v>
      </c>
      <c r="C97" t="s">
        <v>660</v>
      </c>
      <c r="D97" s="8" t="s">
        <v>366</v>
      </c>
    </row>
    <row r="98" spans="1:4" x14ac:dyDescent="0.25">
      <c r="A98" s="10" t="s">
        <v>491</v>
      </c>
      <c r="B98" t="s">
        <v>346</v>
      </c>
      <c r="C98" t="s">
        <v>660</v>
      </c>
      <c r="D98" s="8" t="s">
        <v>306</v>
      </c>
    </row>
    <row r="99" spans="1:4" x14ac:dyDescent="0.25">
      <c r="A99" s="10" t="s">
        <v>436</v>
      </c>
      <c r="B99" t="s">
        <v>437</v>
      </c>
      <c r="C99" t="s">
        <v>660</v>
      </c>
      <c r="D99" s="8" t="s">
        <v>390</v>
      </c>
    </row>
    <row r="100" spans="1:4" x14ac:dyDescent="0.25">
      <c r="A100" s="10" t="s">
        <v>399</v>
      </c>
      <c r="B100" t="s">
        <v>76</v>
      </c>
      <c r="C100" t="s">
        <v>664</v>
      </c>
      <c r="D100" s="8" t="s">
        <v>390</v>
      </c>
    </row>
    <row r="101" spans="1:4" x14ac:dyDescent="0.25">
      <c r="A101" s="10" t="s">
        <v>400</v>
      </c>
      <c r="B101" t="s">
        <v>84</v>
      </c>
      <c r="C101" t="s">
        <v>664</v>
      </c>
      <c r="D101" s="8" t="s">
        <v>390</v>
      </c>
    </row>
    <row r="102" spans="1:4" x14ac:dyDescent="0.25">
      <c r="A102" s="10" t="s">
        <v>438</v>
      </c>
      <c r="B102" t="s">
        <v>439</v>
      </c>
      <c r="C102" t="s">
        <v>664</v>
      </c>
      <c r="D102" s="8" t="s">
        <v>390</v>
      </c>
    </row>
    <row r="103" spans="1:4" x14ac:dyDescent="0.25">
      <c r="A103" s="10" t="s">
        <v>440</v>
      </c>
      <c r="B103" t="s">
        <v>441</v>
      </c>
      <c r="C103" t="s">
        <v>664</v>
      </c>
      <c r="D103" s="8" t="s">
        <v>390</v>
      </c>
    </row>
    <row r="104" spans="1:4" x14ac:dyDescent="0.25">
      <c r="A104" s="10" t="s">
        <v>442</v>
      </c>
      <c r="B104" t="s">
        <v>443</v>
      </c>
      <c r="C104" t="s">
        <v>664</v>
      </c>
      <c r="D104" s="8" t="s">
        <v>390</v>
      </c>
    </row>
    <row r="105" spans="1:4" x14ac:dyDescent="0.25">
      <c r="A105" s="10" t="s">
        <v>402</v>
      </c>
      <c r="B105" t="s">
        <v>19</v>
      </c>
      <c r="C105" t="s">
        <v>664</v>
      </c>
      <c r="D105" s="8" t="s">
        <v>390</v>
      </c>
    </row>
    <row r="106" spans="1:4" x14ac:dyDescent="0.25">
      <c r="A106" s="10" t="s">
        <v>405</v>
      </c>
      <c r="B106" t="s">
        <v>204</v>
      </c>
      <c r="C106" t="s">
        <v>660</v>
      </c>
      <c r="D106" s="8" t="s">
        <v>390</v>
      </c>
    </row>
    <row r="107" spans="1:4" x14ac:dyDescent="0.25">
      <c r="A107" s="10" t="s">
        <v>406</v>
      </c>
      <c r="B107" t="s">
        <v>112</v>
      </c>
      <c r="C107" t="s">
        <v>663</v>
      </c>
      <c r="D107" s="8" t="s">
        <v>390</v>
      </c>
    </row>
    <row r="108" spans="1:4" x14ac:dyDescent="0.25">
      <c r="A108" s="10" t="s">
        <v>444</v>
      </c>
      <c r="B108" t="s">
        <v>672</v>
      </c>
      <c r="C108" t="s">
        <v>660</v>
      </c>
      <c r="D108" s="8" t="s">
        <v>390</v>
      </c>
    </row>
    <row r="109" spans="1:4" x14ac:dyDescent="0.25">
      <c r="A109" s="10" t="s">
        <v>407</v>
      </c>
      <c r="B109" t="s">
        <v>238</v>
      </c>
      <c r="C109" t="s">
        <v>660</v>
      </c>
      <c r="D109" s="8" t="s">
        <v>390</v>
      </c>
    </row>
    <row r="110" spans="1:4" x14ac:dyDescent="0.25">
      <c r="A110" s="10" t="s">
        <v>409</v>
      </c>
      <c r="B110" t="s">
        <v>634</v>
      </c>
      <c r="C110" t="s">
        <v>664</v>
      </c>
      <c r="D110" s="8" t="s">
        <v>390</v>
      </c>
    </row>
    <row r="111" spans="1:4" x14ac:dyDescent="0.25">
      <c r="A111" s="10" t="s">
        <v>410</v>
      </c>
      <c r="B111" t="s">
        <v>568</v>
      </c>
      <c r="C111" t="s">
        <v>660</v>
      </c>
      <c r="D111" s="8" t="s">
        <v>390</v>
      </c>
    </row>
    <row r="112" spans="1:4" x14ac:dyDescent="0.25">
      <c r="A112" s="10" t="s">
        <v>411</v>
      </c>
      <c r="B112" t="s">
        <v>239</v>
      </c>
      <c r="C112" t="s">
        <v>660</v>
      </c>
      <c r="D112" s="8" t="s">
        <v>390</v>
      </c>
    </row>
    <row r="113" spans="1:4" x14ac:dyDescent="0.25">
      <c r="A113" s="10" t="s">
        <v>429</v>
      </c>
      <c r="B113" t="s">
        <v>36</v>
      </c>
      <c r="C113" t="s">
        <v>660</v>
      </c>
      <c r="D113" s="8" t="s">
        <v>390</v>
      </c>
    </row>
    <row r="114" spans="1:4" x14ac:dyDescent="0.25">
      <c r="A114" s="10" t="s">
        <v>492</v>
      </c>
      <c r="B114" t="s">
        <v>346</v>
      </c>
      <c r="C114" t="s">
        <v>660</v>
      </c>
      <c r="D114" s="8" t="s">
        <v>282</v>
      </c>
    </row>
    <row r="115" spans="1:4" x14ac:dyDescent="0.25">
      <c r="A115" s="10" t="s">
        <v>490</v>
      </c>
      <c r="B115" t="s">
        <v>346</v>
      </c>
      <c r="C115" t="s">
        <v>660</v>
      </c>
      <c r="D115" s="8" t="s">
        <v>284</v>
      </c>
    </row>
    <row r="116" spans="1:4" x14ac:dyDescent="0.25">
      <c r="A116" s="10" t="s">
        <v>536</v>
      </c>
      <c r="B116" t="s">
        <v>537</v>
      </c>
      <c r="C116" t="s">
        <v>669</v>
      </c>
      <c r="D116" t="s">
        <v>535</v>
      </c>
    </row>
    <row r="117" spans="1:4" x14ac:dyDescent="0.25">
      <c r="A117" s="10" t="s">
        <v>538</v>
      </c>
      <c r="B117" t="s">
        <v>476</v>
      </c>
      <c r="C117" t="s">
        <v>660</v>
      </c>
      <c r="D117" t="s">
        <v>535</v>
      </c>
    </row>
    <row r="118" spans="1:4" x14ac:dyDescent="0.25">
      <c r="A118" s="10" t="s">
        <v>549</v>
      </c>
      <c r="B118" t="s">
        <v>346</v>
      </c>
      <c r="C118" t="s">
        <v>660</v>
      </c>
      <c r="D118" t="s">
        <v>535</v>
      </c>
    </row>
    <row r="119" spans="1:4" x14ac:dyDescent="0.25">
      <c r="A119" s="10" t="s">
        <v>550</v>
      </c>
      <c r="B119" t="s">
        <v>446</v>
      </c>
      <c r="C119" t="s">
        <v>663</v>
      </c>
      <c r="D119" t="s">
        <v>535</v>
      </c>
    </row>
    <row r="120" spans="1:4" x14ac:dyDescent="0.25">
      <c r="A120" s="10" t="s">
        <v>551</v>
      </c>
      <c r="B120" t="s">
        <v>539</v>
      </c>
      <c r="C120" t="s">
        <v>663</v>
      </c>
      <c r="D120" t="s">
        <v>535</v>
      </c>
    </row>
    <row r="121" spans="1:4" x14ac:dyDescent="0.25">
      <c r="A121" s="10" t="s">
        <v>552</v>
      </c>
      <c r="B121" t="s">
        <v>204</v>
      </c>
      <c r="C121" t="s">
        <v>660</v>
      </c>
      <c r="D121" t="s">
        <v>535</v>
      </c>
    </row>
    <row r="122" spans="1:4" x14ac:dyDescent="0.25">
      <c r="A122" s="10" t="s">
        <v>553</v>
      </c>
      <c r="B122" t="s">
        <v>540</v>
      </c>
      <c r="C122" t="s">
        <v>663</v>
      </c>
      <c r="D122" t="s">
        <v>535</v>
      </c>
    </row>
    <row r="123" spans="1:4" x14ac:dyDescent="0.25">
      <c r="A123" s="10" t="s">
        <v>554</v>
      </c>
      <c r="B123" t="s">
        <v>541</v>
      </c>
      <c r="C123" t="s">
        <v>660</v>
      </c>
      <c r="D123" t="s">
        <v>535</v>
      </c>
    </row>
    <row r="124" spans="1:4" x14ac:dyDescent="0.25">
      <c r="A124" s="10" t="s">
        <v>555</v>
      </c>
      <c r="B124" t="s">
        <v>565</v>
      </c>
      <c r="C124" t="s">
        <v>664</v>
      </c>
      <c r="D124" t="s">
        <v>535</v>
      </c>
    </row>
    <row r="125" spans="1:4" x14ac:dyDescent="0.25">
      <c r="A125" s="10" t="s">
        <v>556</v>
      </c>
      <c r="B125" t="s">
        <v>542</v>
      </c>
      <c r="C125" t="s">
        <v>664</v>
      </c>
      <c r="D125" t="s">
        <v>535</v>
      </c>
    </row>
    <row r="126" spans="1:4" x14ac:dyDescent="0.25">
      <c r="A126" s="10" t="s">
        <v>557</v>
      </c>
      <c r="B126" t="s">
        <v>543</v>
      </c>
      <c r="C126" t="s">
        <v>664</v>
      </c>
      <c r="D126" t="s">
        <v>535</v>
      </c>
    </row>
    <row r="127" spans="1:4" x14ac:dyDescent="0.25">
      <c r="A127" s="10" t="s">
        <v>558</v>
      </c>
      <c r="B127" t="s">
        <v>544</v>
      </c>
      <c r="C127" t="s">
        <v>664</v>
      </c>
      <c r="D127" t="s">
        <v>535</v>
      </c>
    </row>
    <row r="128" spans="1:4" x14ac:dyDescent="0.25">
      <c r="A128" s="10" t="s">
        <v>559</v>
      </c>
      <c r="B128" t="s">
        <v>545</v>
      </c>
      <c r="C128" t="s">
        <v>660</v>
      </c>
      <c r="D128" t="s">
        <v>535</v>
      </c>
    </row>
    <row r="129" spans="1:4" x14ac:dyDescent="0.25">
      <c r="A129" s="10" t="s">
        <v>560</v>
      </c>
      <c r="B129" t="s">
        <v>546</v>
      </c>
      <c r="C129" t="s">
        <v>664</v>
      </c>
      <c r="D129" t="s">
        <v>535</v>
      </c>
    </row>
    <row r="130" spans="1:4" x14ac:dyDescent="0.25">
      <c r="A130" s="10" t="s">
        <v>561</v>
      </c>
      <c r="B130" t="s">
        <v>547</v>
      </c>
      <c r="C130" t="s">
        <v>664</v>
      </c>
      <c r="D130" t="s">
        <v>535</v>
      </c>
    </row>
    <row r="131" spans="1:4" x14ac:dyDescent="0.25">
      <c r="A131" s="10" t="s">
        <v>562</v>
      </c>
      <c r="B131" t="s">
        <v>564</v>
      </c>
      <c r="C131" t="s">
        <v>660</v>
      </c>
      <c r="D131" t="s">
        <v>535</v>
      </c>
    </row>
    <row r="132" spans="1:4" x14ac:dyDescent="0.25">
      <c r="A132" s="10" t="s">
        <v>563</v>
      </c>
      <c r="B132" t="s">
        <v>548</v>
      </c>
      <c r="C132" t="s">
        <v>663</v>
      </c>
      <c r="D132" t="s">
        <v>535</v>
      </c>
    </row>
    <row r="133" spans="1:4" x14ac:dyDescent="0.25">
      <c r="A133" s="10" t="s">
        <v>595</v>
      </c>
      <c r="B133" t="s">
        <v>596</v>
      </c>
      <c r="C133" t="s">
        <v>660</v>
      </c>
      <c r="D133" t="s">
        <v>535</v>
      </c>
    </row>
    <row r="134" spans="1:4" x14ac:dyDescent="0.25">
      <c r="A134" s="10" t="s">
        <v>606</v>
      </c>
      <c r="B134" t="s">
        <v>568</v>
      </c>
      <c r="C134" t="s">
        <v>660</v>
      </c>
      <c r="D134" t="s">
        <v>535</v>
      </c>
    </row>
    <row r="135" spans="1:4" x14ac:dyDescent="0.25">
      <c r="A135" s="10" t="s">
        <v>633</v>
      </c>
      <c r="B135" t="s">
        <v>361</v>
      </c>
      <c r="C135" t="s">
        <v>669</v>
      </c>
      <c r="D135" t="s">
        <v>632</v>
      </c>
    </row>
    <row r="136" spans="1:4" x14ac:dyDescent="0.25">
      <c r="A136" s="10" t="s">
        <v>643</v>
      </c>
      <c r="B136" t="s">
        <v>645</v>
      </c>
      <c r="C136" t="s">
        <v>669</v>
      </c>
      <c r="D136" t="s">
        <v>644</v>
      </c>
    </row>
    <row r="137" spans="1:4" x14ac:dyDescent="0.25">
      <c r="A137" s="10" t="s">
        <v>692</v>
      </c>
      <c r="B137" t="s">
        <v>693</v>
      </c>
      <c r="C137" t="s">
        <v>669</v>
      </c>
      <c r="D137" t="s">
        <v>694</v>
      </c>
    </row>
    <row r="138" spans="1:4" x14ac:dyDescent="0.25">
      <c r="A138" s="10" t="s">
        <v>715</v>
      </c>
      <c r="B138" t="s">
        <v>717</v>
      </c>
      <c r="C138" t="s">
        <v>669</v>
      </c>
      <c r="D138" t="s">
        <v>712</v>
      </c>
    </row>
    <row r="139" spans="1:4" x14ac:dyDescent="0.25">
      <c r="A139" s="10" t="s">
        <v>714</v>
      </c>
      <c r="B139" t="s">
        <v>658</v>
      </c>
      <c r="C139" t="s">
        <v>660</v>
      </c>
      <c r="D139" t="s">
        <v>716</v>
      </c>
    </row>
    <row r="140" spans="1:4" x14ac:dyDescent="0.25">
      <c r="A140" s="10" t="s">
        <v>722</v>
      </c>
      <c r="B140" t="s">
        <v>724</v>
      </c>
      <c r="C140" t="s">
        <v>669</v>
      </c>
      <c r="D140" t="s">
        <v>723</v>
      </c>
    </row>
    <row r="141" spans="1:4" x14ac:dyDescent="0.25">
      <c r="A141" s="10" t="s">
        <v>725</v>
      </c>
      <c r="B141" t="s">
        <v>658</v>
      </c>
      <c r="C141" t="s">
        <v>660</v>
      </c>
      <c r="D141" t="s">
        <v>726</v>
      </c>
    </row>
    <row r="142" spans="1:4" x14ac:dyDescent="0.25">
      <c r="A142" s="10" t="s">
        <v>727</v>
      </c>
      <c r="B142" t="s">
        <v>755</v>
      </c>
      <c r="C142" t="s">
        <v>660</v>
      </c>
      <c r="D142" t="s">
        <v>730</v>
      </c>
    </row>
    <row r="143" spans="1:4" x14ac:dyDescent="0.25">
      <c r="A143" s="10" t="s">
        <v>728</v>
      </c>
      <c r="B143" t="s">
        <v>346</v>
      </c>
      <c r="C143" t="s">
        <v>660</v>
      </c>
      <c r="D143" t="s">
        <v>345</v>
      </c>
    </row>
    <row r="144" spans="1:4" x14ac:dyDescent="0.25">
      <c r="A144" s="10" t="s">
        <v>729</v>
      </c>
      <c r="B144" t="s">
        <v>568</v>
      </c>
      <c r="C144" t="s">
        <v>660</v>
      </c>
      <c r="D144" t="s">
        <v>731</v>
      </c>
    </row>
    <row r="145" spans="1:4" x14ac:dyDescent="0.25">
      <c r="A145" s="10" t="s">
        <v>739</v>
      </c>
      <c r="B145" t="s">
        <v>759</v>
      </c>
      <c r="C145" t="s">
        <v>660</v>
      </c>
      <c r="D145" t="s">
        <v>740</v>
      </c>
    </row>
    <row r="146" spans="1:4" x14ac:dyDescent="0.25">
      <c r="A146" s="10" t="s">
        <v>742</v>
      </c>
      <c r="B146" t="s">
        <v>743</v>
      </c>
      <c r="C146" t="s">
        <v>669</v>
      </c>
      <c r="D146" t="s">
        <v>744</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488</v>
      </c>
      <c r="B3">
        <v>203</v>
      </c>
    </row>
    <row r="4" spans="1:2" x14ac:dyDescent="0.25">
      <c r="A4" s="3" t="s">
        <v>15</v>
      </c>
      <c r="B4">
        <v>204</v>
      </c>
    </row>
    <row r="5" spans="1:2" x14ac:dyDescent="0.25">
      <c r="A5" s="3" t="s">
        <v>33</v>
      </c>
      <c r="B5">
        <v>205</v>
      </c>
    </row>
    <row r="6" spans="1:2" x14ac:dyDescent="0.25">
      <c r="A6" s="3" t="s">
        <v>49</v>
      </c>
      <c r="B6">
        <v>206</v>
      </c>
    </row>
    <row r="7" spans="1:2" x14ac:dyDescent="0.25">
      <c r="A7" s="3" t="s">
        <v>54</v>
      </c>
      <c r="B7">
        <v>207</v>
      </c>
    </row>
    <row r="8" spans="1:2" x14ac:dyDescent="0.25">
      <c r="A8" s="3" t="s">
        <v>72</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153</v>
      </c>
      <c r="B4">
        <v>304</v>
      </c>
    </row>
    <row r="5" spans="1:2" x14ac:dyDescent="0.25">
      <c r="A5" s="3" t="s">
        <v>23</v>
      </c>
      <c r="B5">
        <v>305</v>
      </c>
    </row>
    <row r="6" spans="1:2" x14ac:dyDescent="0.25">
      <c r="A6" s="3" t="s">
        <v>26</v>
      </c>
      <c r="B6">
        <v>306</v>
      </c>
    </row>
    <row r="7" spans="1:2" x14ac:dyDescent="0.25">
      <c r="A7" s="3" t="s">
        <v>29</v>
      </c>
      <c r="B7">
        <v>307</v>
      </c>
    </row>
    <row r="8" spans="1:2" x14ac:dyDescent="0.25">
      <c r="A8" s="3" t="s">
        <v>34</v>
      </c>
      <c r="B8">
        <v>308</v>
      </c>
    </row>
    <row r="9" spans="1:2" x14ac:dyDescent="0.25">
      <c r="A9" s="3" t="s">
        <v>38</v>
      </c>
      <c r="B9">
        <v>309</v>
      </c>
    </row>
    <row r="10" spans="1:2" x14ac:dyDescent="0.25">
      <c r="A10" s="3" t="s">
        <v>45</v>
      </c>
      <c r="B10">
        <v>310</v>
      </c>
    </row>
    <row r="11" spans="1:2" x14ac:dyDescent="0.25">
      <c r="A11" s="3" t="s">
        <v>15</v>
      </c>
      <c r="B11">
        <v>311</v>
      </c>
    </row>
    <row r="12" spans="1:2" x14ac:dyDescent="0.25">
      <c r="A12" s="3" t="s">
        <v>55</v>
      </c>
      <c r="B12">
        <v>312</v>
      </c>
    </row>
    <row r="13" spans="1:2" x14ac:dyDescent="0.25">
      <c r="A13" s="4" t="s">
        <v>58</v>
      </c>
      <c r="B13">
        <v>313</v>
      </c>
    </row>
    <row r="14" spans="1:2" x14ac:dyDescent="0.25">
      <c r="A14" s="3" t="s">
        <v>59</v>
      </c>
      <c r="B14">
        <v>314</v>
      </c>
    </row>
    <row r="15" spans="1:2" x14ac:dyDescent="0.25">
      <c r="A15" s="3" t="s">
        <v>65</v>
      </c>
      <c r="B15">
        <v>316</v>
      </c>
    </row>
    <row r="16" spans="1:2" x14ac:dyDescent="0.25">
      <c r="A16" s="3" t="s">
        <v>33</v>
      </c>
      <c r="B16">
        <v>317</v>
      </c>
    </row>
    <row r="17" spans="1:2" x14ac:dyDescent="0.25">
      <c r="A17" s="3" t="s">
        <v>79</v>
      </c>
      <c r="B17">
        <v>318</v>
      </c>
    </row>
    <row r="18" spans="1:2" x14ac:dyDescent="0.25">
      <c r="A18" s="3" t="s">
        <v>82</v>
      </c>
      <c r="B18">
        <v>319</v>
      </c>
    </row>
    <row r="19" spans="1:2" x14ac:dyDescent="0.25">
      <c r="A19" s="3" t="s">
        <v>88</v>
      </c>
      <c r="B19">
        <v>320</v>
      </c>
    </row>
    <row r="20" spans="1:2" x14ac:dyDescent="0.25">
      <c r="A20" s="3" t="s">
        <v>93</v>
      </c>
      <c r="B20">
        <v>321</v>
      </c>
    </row>
    <row r="21" spans="1:2" x14ac:dyDescent="0.25">
      <c r="A21" s="3" t="s">
        <v>96</v>
      </c>
      <c r="B21">
        <v>322</v>
      </c>
    </row>
    <row r="22" spans="1:2" x14ac:dyDescent="0.25">
      <c r="A22" s="3" t="s">
        <v>110</v>
      </c>
      <c r="B22">
        <v>323</v>
      </c>
    </row>
    <row r="23" spans="1:2" x14ac:dyDescent="0.25">
      <c r="A23" s="3" t="s">
        <v>114</v>
      </c>
      <c r="B23">
        <v>324</v>
      </c>
    </row>
    <row r="24" spans="1:2" x14ac:dyDescent="0.25">
      <c r="A24" s="3" t="s">
        <v>116</v>
      </c>
      <c r="B24">
        <v>325</v>
      </c>
    </row>
    <row r="25" spans="1:2" x14ac:dyDescent="0.25">
      <c r="A25" s="3" t="s">
        <v>119</v>
      </c>
      <c r="B25">
        <v>326</v>
      </c>
    </row>
    <row r="26" spans="1:2" x14ac:dyDescent="0.25">
      <c r="A26" s="3" t="s">
        <v>16</v>
      </c>
      <c r="B26">
        <v>327</v>
      </c>
    </row>
    <row r="27" spans="1:2" x14ac:dyDescent="0.25">
      <c r="A27" s="3" t="s">
        <v>131</v>
      </c>
      <c r="B27">
        <v>328</v>
      </c>
    </row>
    <row r="28" spans="1:2" x14ac:dyDescent="0.25">
      <c r="A28" s="3" t="s">
        <v>150</v>
      </c>
      <c r="B28">
        <v>329</v>
      </c>
    </row>
    <row r="29" spans="1:2" x14ac:dyDescent="0.25">
      <c r="A29" s="3" t="s">
        <v>217</v>
      </c>
      <c r="B29">
        <v>330</v>
      </c>
    </row>
    <row r="30" spans="1:2" x14ac:dyDescent="0.25">
      <c r="A30" s="3" t="s">
        <v>224</v>
      </c>
      <c r="B30">
        <v>331</v>
      </c>
    </row>
    <row r="31" spans="1:2" x14ac:dyDescent="0.25">
      <c r="A31" s="3" t="s">
        <v>228</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659</v>
      </c>
      <c r="B1" s="16" t="s">
        <v>662</v>
      </c>
    </row>
    <row r="2" spans="1:2" x14ac:dyDescent="0.25">
      <c r="A2" s="10" t="s">
        <v>660</v>
      </c>
      <c r="B2" s="10" t="s">
        <v>661</v>
      </c>
    </row>
    <row r="3" spans="1:2" x14ac:dyDescent="0.25">
      <c r="A3" s="10" t="s">
        <v>663</v>
      </c>
      <c r="B3" s="10" t="s">
        <v>666</v>
      </c>
    </row>
    <row r="4" spans="1:2" x14ac:dyDescent="0.25">
      <c r="A4" s="10" t="s">
        <v>664</v>
      </c>
      <c r="B4" s="10" t="s">
        <v>665</v>
      </c>
    </row>
    <row r="5" spans="1:2" x14ac:dyDescent="0.25">
      <c r="A5" s="10" t="s">
        <v>667</v>
      </c>
      <c r="B5" s="10" t="s">
        <v>668</v>
      </c>
    </row>
    <row r="6" spans="1:2" x14ac:dyDescent="0.25">
      <c r="A6" s="10" t="s">
        <v>669</v>
      </c>
      <c r="B6" s="10"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2026-06-15T06:30:23Z</dcterms:modified>
</cp:coreProperties>
</file>