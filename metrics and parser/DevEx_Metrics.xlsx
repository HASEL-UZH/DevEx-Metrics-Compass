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DATA\DEV\UZH\DX-Metrics-Compass\metrics and parser\"/>
    </mc:Choice>
  </mc:AlternateContent>
  <xr:revisionPtr revIDLastSave="0" documentId="13_ncr:1_{6D2BBA4F-4B4F-4DD1-8CE8-5CBF8DBF1DFD}" xr6:coauthVersionLast="47" xr6:coauthVersionMax="47" xr10:uidLastSave="{00000000-0000-0000-0000-000000000000}"/>
  <bookViews>
    <workbookView xWindow="-120" yWindow="-120" windowWidth="57840" windowHeight="23520" tabRatio="376" xr2:uid="{00000000-000D-0000-FFFF-FFFF00000000}"/>
  </bookViews>
  <sheets>
    <sheet name="metrics" sheetId="1" r:id="rId1"/>
    <sheet name="urls" sheetId="4" r:id="rId2"/>
    <sheet name="cardsort_group_IDs" sheetId="2" r:id="rId3"/>
    <sheet name="cardsort_subgroup_IDs" sheetId="3" r:id="rId4"/>
    <sheet name="company_sizes" sheetId="5" r:id="rId5"/>
  </sheets>
  <definedNames>
    <definedName name="_xlnm._FilterDatabase" localSheetId="0" hidden="1">metrics!$A$1:$M$113</definedName>
    <definedName name="_xlnm._FilterDatabase" localSheetId="1" hidden="1">urls!$A$1:$D$114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6" i="1" l="1"/>
  <c r="I127" i="1"/>
  <c r="K126" i="1"/>
  <c r="K127" i="1"/>
  <c r="L127" i="1"/>
  <c r="M127" i="1"/>
  <c r="N127" i="1"/>
  <c r="L126" i="1"/>
  <c r="M126" i="1"/>
  <c r="N126" i="1"/>
  <c r="I125" i="1"/>
  <c r="K125" i="1"/>
  <c r="L125" i="1"/>
  <c r="M125" i="1"/>
  <c r="N125" i="1"/>
  <c r="I124" i="1"/>
  <c r="K124" i="1"/>
  <c r="L124" i="1"/>
  <c r="M124" i="1"/>
  <c r="N124" i="1"/>
  <c r="K123" i="1"/>
  <c r="L123" i="1"/>
  <c r="M123" i="1"/>
  <c r="N123" i="1"/>
  <c r="I123" i="1"/>
  <c r="K122" i="1"/>
  <c r="L122" i="1"/>
  <c r="M122" i="1"/>
  <c r="N122" i="1"/>
  <c r="I122" i="1"/>
  <c r="K121" i="1"/>
  <c r="L121" i="1"/>
  <c r="M121" i="1"/>
  <c r="I121" i="1"/>
  <c r="N121" i="1"/>
  <c r="N120" i="1"/>
  <c r="K120" i="1"/>
  <c r="L120" i="1"/>
  <c r="M120" i="1"/>
  <c r="O120" i="1" s="1"/>
  <c r="I120" i="1"/>
  <c r="L119" i="1"/>
  <c r="M119" i="1"/>
  <c r="N119" i="1"/>
  <c r="I119" i="1"/>
  <c r="K118" i="1"/>
  <c r="L118" i="1"/>
  <c r="M118" i="1"/>
  <c r="N118" i="1"/>
  <c r="K119" i="1"/>
  <c r="I118" i="1"/>
  <c r="I117" i="1"/>
  <c r="K117" i="1"/>
  <c r="L117" i="1"/>
  <c r="M117" i="1"/>
  <c r="N117" i="1"/>
  <c r="K116" i="1"/>
  <c r="L116" i="1"/>
  <c r="M116" i="1"/>
  <c r="N116" i="1"/>
  <c r="I116" i="1"/>
  <c r="L115" i="1"/>
  <c r="M115" i="1"/>
  <c r="N115" i="1"/>
  <c r="K115" i="1"/>
  <c r="I115" i="1"/>
  <c r="M114" i="1"/>
  <c r="N114" i="1"/>
  <c r="L114" i="1"/>
  <c r="K114" i="1"/>
  <c r="I114" i="1"/>
  <c r="K113" i="1"/>
  <c r="I113" i="1"/>
  <c r="N113" i="1"/>
  <c r="M113" i="1"/>
  <c r="L113" i="1"/>
  <c r="M2" i="1"/>
  <c r="L3" i="1"/>
  <c r="I2" i="1"/>
  <c r="M112" i="1"/>
  <c r="L112" i="1"/>
  <c r="N112" i="1"/>
  <c r="K112" i="1"/>
  <c r="I112"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M3" i="1"/>
  <c r="N3" i="1"/>
  <c r="M4" i="1"/>
  <c r="N4" i="1"/>
  <c r="M5" i="1"/>
  <c r="N5" i="1"/>
  <c r="M6" i="1"/>
  <c r="N6" i="1"/>
  <c r="M7" i="1"/>
  <c r="N7" i="1"/>
  <c r="M8" i="1"/>
  <c r="N8" i="1"/>
  <c r="M9" i="1"/>
  <c r="N9" i="1"/>
  <c r="M10" i="1"/>
  <c r="N10" i="1"/>
  <c r="M11" i="1"/>
  <c r="N11" i="1"/>
  <c r="M12" i="1"/>
  <c r="N12" i="1"/>
  <c r="M13" i="1"/>
  <c r="N13" i="1"/>
  <c r="M14" i="1"/>
  <c r="N14" i="1"/>
  <c r="M15" i="1"/>
  <c r="N15" i="1"/>
  <c r="M16" i="1"/>
  <c r="N16" i="1"/>
  <c r="M17" i="1"/>
  <c r="N17" i="1"/>
  <c r="M18" i="1"/>
  <c r="N18" i="1"/>
  <c r="M19" i="1"/>
  <c r="N19" i="1"/>
  <c r="M20" i="1"/>
  <c r="N20" i="1"/>
  <c r="M21" i="1"/>
  <c r="N21" i="1"/>
  <c r="M22" i="1"/>
  <c r="N22" i="1"/>
  <c r="M23" i="1"/>
  <c r="N23" i="1"/>
  <c r="M24" i="1"/>
  <c r="N24" i="1"/>
  <c r="M25" i="1"/>
  <c r="N25" i="1"/>
  <c r="M26" i="1"/>
  <c r="N26" i="1"/>
  <c r="M27" i="1"/>
  <c r="N27" i="1"/>
  <c r="M28" i="1"/>
  <c r="N28" i="1"/>
  <c r="M29" i="1"/>
  <c r="N29" i="1"/>
  <c r="M30" i="1"/>
  <c r="N30" i="1"/>
  <c r="M31" i="1"/>
  <c r="N31" i="1"/>
  <c r="M32" i="1"/>
  <c r="N32" i="1"/>
  <c r="M33" i="1"/>
  <c r="N33" i="1"/>
  <c r="M34" i="1"/>
  <c r="N34" i="1"/>
  <c r="M35" i="1"/>
  <c r="N35" i="1"/>
  <c r="M36" i="1"/>
  <c r="N36" i="1"/>
  <c r="M37" i="1"/>
  <c r="N37" i="1"/>
  <c r="M38" i="1"/>
  <c r="N38" i="1"/>
  <c r="M39" i="1"/>
  <c r="N39" i="1"/>
  <c r="M40" i="1"/>
  <c r="N40" i="1"/>
  <c r="M41" i="1"/>
  <c r="N41" i="1"/>
  <c r="M42" i="1"/>
  <c r="N42" i="1"/>
  <c r="M43" i="1"/>
  <c r="N43" i="1"/>
  <c r="M44" i="1"/>
  <c r="N44" i="1"/>
  <c r="M45" i="1"/>
  <c r="N45" i="1"/>
  <c r="M46" i="1"/>
  <c r="N46" i="1"/>
  <c r="M47" i="1"/>
  <c r="N47" i="1"/>
  <c r="M48" i="1"/>
  <c r="N48" i="1"/>
  <c r="M49" i="1"/>
  <c r="N49" i="1"/>
  <c r="M50" i="1"/>
  <c r="N50" i="1"/>
  <c r="M51" i="1"/>
  <c r="N51" i="1"/>
  <c r="M52" i="1"/>
  <c r="N52" i="1"/>
  <c r="M53" i="1"/>
  <c r="N53" i="1"/>
  <c r="M54" i="1"/>
  <c r="N54" i="1"/>
  <c r="M55" i="1"/>
  <c r="N55" i="1"/>
  <c r="M56" i="1"/>
  <c r="N56" i="1"/>
  <c r="M57" i="1"/>
  <c r="N57" i="1"/>
  <c r="M58" i="1"/>
  <c r="N58" i="1"/>
  <c r="M59" i="1"/>
  <c r="N59" i="1"/>
  <c r="M60" i="1"/>
  <c r="N60" i="1"/>
  <c r="M61" i="1"/>
  <c r="N61" i="1"/>
  <c r="M62" i="1"/>
  <c r="N62" i="1"/>
  <c r="M63" i="1"/>
  <c r="N63" i="1"/>
  <c r="M64" i="1"/>
  <c r="N64" i="1"/>
  <c r="M65" i="1"/>
  <c r="N65" i="1"/>
  <c r="M66" i="1"/>
  <c r="N66" i="1"/>
  <c r="M67" i="1"/>
  <c r="N67" i="1"/>
  <c r="M68" i="1"/>
  <c r="N68" i="1"/>
  <c r="M69" i="1"/>
  <c r="N69" i="1"/>
  <c r="M70" i="1"/>
  <c r="N70" i="1"/>
  <c r="M71" i="1"/>
  <c r="N71" i="1"/>
  <c r="M72" i="1"/>
  <c r="N72" i="1"/>
  <c r="M73" i="1"/>
  <c r="N73" i="1"/>
  <c r="M74" i="1"/>
  <c r="N74" i="1"/>
  <c r="M75" i="1"/>
  <c r="N75" i="1"/>
  <c r="M76" i="1"/>
  <c r="N76" i="1"/>
  <c r="M77" i="1"/>
  <c r="N77" i="1"/>
  <c r="M78" i="1"/>
  <c r="N78" i="1"/>
  <c r="M79" i="1"/>
  <c r="N79" i="1"/>
  <c r="M80" i="1"/>
  <c r="N80" i="1"/>
  <c r="M81" i="1"/>
  <c r="N81" i="1"/>
  <c r="M82" i="1"/>
  <c r="N82" i="1"/>
  <c r="M83" i="1"/>
  <c r="N83" i="1"/>
  <c r="M84" i="1"/>
  <c r="N84" i="1"/>
  <c r="M85" i="1"/>
  <c r="N85" i="1"/>
  <c r="M86" i="1"/>
  <c r="N86" i="1"/>
  <c r="M87" i="1"/>
  <c r="N87" i="1"/>
  <c r="M88" i="1"/>
  <c r="N88" i="1"/>
  <c r="M89" i="1"/>
  <c r="N89" i="1"/>
  <c r="M90" i="1"/>
  <c r="N90" i="1"/>
  <c r="M91" i="1"/>
  <c r="N91" i="1"/>
  <c r="M92" i="1"/>
  <c r="N92" i="1"/>
  <c r="M93" i="1"/>
  <c r="N93" i="1"/>
  <c r="M94" i="1"/>
  <c r="N94" i="1"/>
  <c r="M95" i="1"/>
  <c r="N95" i="1"/>
  <c r="M96" i="1"/>
  <c r="N96" i="1"/>
  <c r="M97" i="1"/>
  <c r="N97" i="1"/>
  <c r="M98" i="1"/>
  <c r="N98" i="1"/>
  <c r="M99" i="1"/>
  <c r="N99" i="1"/>
  <c r="M100" i="1"/>
  <c r="N100" i="1"/>
  <c r="M101" i="1"/>
  <c r="N101" i="1"/>
  <c r="M102" i="1"/>
  <c r="N102" i="1"/>
  <c r="M103" i="1"/>
  <c r="N103" i="1"/>
  <c r="M104" i="1"/>
  <c r="N104" i="1"/>
  <c r="M105" i="1"/>
  <c r="N105" i="1"/>
  <c r="M106" i="1"/>
  <c r="N106" i="1"/>
  <c r="M107" i="1"/>
  <c r="N107" i="1"/>
  <c r="M108" i="1"/>
  <c r="N108" i="1"/>
  <c r="M109" i="1"/>
  <c r="N109" i="1"/>
  <c r="M110" i="1"/>
  <c r="N110" i="1"/>
  <c r="M111" i="1"/>
  <c r="N111" i="1"/>
  <c r="N2" i="1"/>
  <c r="L2" i="1"/>
  <c r="O118" i="1" l="1"/>
  <c r="O123" i="1"/>
  <c r="O125" i="1"/>
  <c r="O124" i="1"/>
  <c r="O127" i="1"/>
  <c r="O126" i="1"/>
  <c r="O119" i="1"/>
  <c r="O122" i="1"/>
  <c r="O121" i="1"/>
  <c r="O115" i="1"/>
  <c r="O117" i="1"/>
  <c r="O116" i="1"/>
  <c r="O114" i="1"/>
  <c r="O113" i="1"/>
  <c r="O11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O111" i="1"/>
  <c r="O109" i="1"/>
  <c r="O108" i="1"/>
  <c r="O104" i="1"/>
  <c r="O97" i="1"/>
  <c r="O95" i="1"/>
  <c r="O94" i="1"/>
  <c r="O93" i="1"/>
  <c r="O90" i="1"/>
  <c r="O83" i="1"/>
  <c r="O81" i="1"/>
  <c r="O80" i="1"/>
  <c r="O79" i="1"/>
  <c r="O76" i="1"/>
  <c r="O69" i="1"/>
  <c r="O67" i="1"/>
  <c r="O66" i="1"/>
  <c r="O65" i="1"/>
  <c r="O62" i="1"/>
  <c r="O55" i="1"/>
  <c r="O53" i="1"/>
  <c r="O52" i="1"/>
  <c r="O48" i="1"/>
  <c r="O41" i="1"/>
  <c r="O37" i="1"/>
  <c r="O30" i="1"/>
  <c r="O28" i="1"/>
  <c r="O27" i="1"/>
  <c r="O26" i="1"/>
  <c r="O23" i="1"/>
  <c r="O19" i="1"/>
  <c r="O14" i="1"/>
  <c r="O10" i="1" l="1"/>
  <c r="O107" i="1"/>
  <c r="O9" i="1"/>
  <c r="O11" i="1"/>
  <c r="O16" i="1"/>
  <c r="O21" i="1"/>
  <c r="O40" i="1"/>
  <c r="O17" i="1"/>
  <c r="O34" i="1"/>
  <c r="O45" i="1"/>
  <c r="O59" i="1"/>
  <c r="O73" i="1"/>
  <c r="O87" i="1"/>
  <c r="O101" i="1"/>
  <c r="O12" i="1"/>
  <c r="O51" i="1"/>
  <c r="O3" i="1"/>
  <c r="O8" i="1"/>
  <c r="O22" i="1"/>
  <c r="O36" i="1"/>
  <c r="O47" i="1"/>
  <c r="O61" i="1"/>
  <c r="O75" i="1"/>
  <c r="O89" i="1"/>
  <c r="O103" i="1"/>
  <c r="O18" i="1"/>
  <c r="O32" i="1"/>
  <c r="O43" i="1"/>
  <c r="O57" i="1"/>
  <c r="O71" i="1"/>
  <c r="O85" i="1"/>
  <c r="O99" i="1"/>
  <c r="O31" i="1"/>
  <c r="O42" i="1"/>
  <c r="O56" i="1"/>
  <c r="O70" i="1"/>
  <c r="O84" i="1"/>
  <c r="O98" i="1"/>
  <c r="O33" i="1"/>
  <c r="O44" i="1"/>
  <c r="O58" i="1"/>
  <c r="O72" i="1"/>
  <c r="O86" i="1"/>
  <c r="O100" i="1"/>
  <c r="O24" i="1"/>
  <c r="O38" i="1"/>
  <c r="O49" i="1"/>
  <c r="O63" i="1"/>
  <c r="O77" i="1"/>
  <c r="O91" i="1"/>
  <c r="O105" i="1"/>
  <c r="O15" i="1"/>
  <c r="O29" i="1"/>
  <c r="O54" i="1"/>
  <c r="O68" i="1"/>
  <c r="O82" i="1"/>
  <c r="O96" i="1"/>
  <c r="O110" i="1"/>
  <c r="O20" i="1"/>
  <c r="O25" i="1"/>
  <c r="O39" i="1"/>
  <c r="O50" i="1"/>
  <c r="O64" i="1"/>
  <c r="O78" i="1"/>
  <c r="O92" i="1"/>
  <c r="O106" i="1"/>
  <c r="O35" i="1"/>
  <c r="O46" i="1"/>
  <c r="O60" i="1"/>
  <c r="O74" i="1"/>
  <c r="O88" i="1"/>
  <c r="O102" i="1"/>
  <c r="O7" i="1"/>
  <c r="O6" i="1"/>
  <c r="O5" i="1"/>
  <c r="O13" i="1"/>
  <c r="O2" i="1"/>
  <c r="O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tc={5DABF24C-F7F6-4498-BB7E-BFB15DB8540E}</author>
    <author>tc={E017DF4E-5656-4CEF-B774-80BA936A6D56}</author>
    <author>tc={8A92D669-9E50-4C59-82E5-97B139270D19}</author>
    <author>tc={121DA4BD-014E-470E-AB44-B9514592A80F}</author>
    <author>tc={41A1A9E9-8671-443A-BC53-E9E6789FC6B2}</author>
    <author>tc={7C21EAC9-D7DB-489B-AFEF-DEF502EE6ECC}</author>
    <author>tc={917C3D96-4AA9-4D8E-8F4B-AEDAD8831587}</author>
    <author>tc={FDDDF671-A2B6-4958-A032-5551C66219BE}</author>
    <author>tc={9ABBA003-3752-4178-8927-349ABCC5DB99}</author>
    <author>tc={45640671-D7E4-4EA6-9099-D4E52C010FD7}</author>
    <author>tc={C9FB5614-C3E5-4863-BFB7-AAB3A42EAACD}</author>
    <author>tc={FCC3DA67-C366-4123-AE95-236C8FC56568}</author>
    <author>tc={24A13EBD-8030-4299-B820-E3DBAA902DCC}</author>
    <author>tc={65177E12-2939-4BCC-8B47-DB95E81C94F5}</author>
  </authors>
  <commentList>
    <comment ref="C15" authorId="0" shapeId="0" xr:uid="{5DABF24C-F7F6-4498-BB7E-BFB15DB8540E}">
      <text>
        <t>[Threaded comment]
Your version of Excel allows you to read this threaded comment; however, any edits to it will get removed if the file is opened in a newer version of Excel. Learn more: https://go.microsoft.com/fwlink/?linkid=870924
Comment:
    Nach Andres Input zusammengefasst zu einem Eintrag.</t>
      </text>
    </comment>
    <comment ref="C29" authorId="1" shapeId="0" xr:uid="{E017DF4E-5656-4CEF-B774-80BA936A6D56}">
      <text>
        <t>[Threaded comment]
Your version of Excel allows you to read this threaded comment; however, any edits to it will get removed if the file is opened in a newer version of Excel. Learn more: https://go.microsoft.com/fwlink/?linkid=870924
Comment:
    „NextJS Page Compilation Duration“ ergänzt nach Andres Input.
Reply:
    „Application/Package Build Duration“ von Lattice nach Andres Input ergänzt.</t>
      </text>
    </comment>
    <comment ref="D29" authorId="2" shapeId="0" xr:uid="{8A92D669-9E50-4C59-82E5-97B139270D19}">
      <text>
        <t>[Threaded comment]
Your version of Excel allows you to read this threaded comment; however, any edits to it will get removed if the file is opened in a newer version of Excel. Learn more: https://go.microsoft.com/fwlink/?linkid=870924
Comment:
    Lattice von NextJS Page Compilation Duration</t>
      </text>
    </comment>
    <comment ref="H34" authorId="3" shapeId="0" xr:uid="{121DA4BD-014E-470E-AB44-B9514592A80F}">
      <text>
        <t>[Threaded comment]
Your version of Excel allows you to read this threaded comment; however, any edits to it will get removed if the file is opened in a newer version of Excel. Learn more: https://go.microsoft.com/fwlink/?linkid=870924
Comment:
    Nach Andres Input von Business zu Process verschoben.</t>
      </text>
    </comment>
    <comment ref="C52" authorId="4" shapeId="0" xr:uid="{41A1A9E9-8671-443A-BC53-E9E6789FC6B2}">
      <text>
        <t>[Threaded comment]
Your version of Excel allows you to read this threaded comment; however, any edits to it will get removed if the file is opened in a newer version of Excel. Learn more: https://go.microsoft.com/fwlink/?linkid=870924
Comment:
    „Time to Restore Services“ ergänzt nach Andres Input.</t>
      </text>
    </comment>
    <comment ref="H58" authorId="5" shapeId="0" xr:uid="{7C21EAC9-D7DB-489B-AFEF-DEF502EE6ECC}">
      <text>
        <t>[Threaded comment]
Your version of Excel allows you to read this threaded comment; however, any edits to it will get removed if the file is opened in a newer version of Excel. Learn more: https://go.microsoft.com/fwlink/?linkid=870924
Comment:
    Nach Andres Input von DevEx zu Business/HR gewechselt.</t>
      </text>
    </comment>
    <comment ref="H61" authorId="6" shapeId="0" xr:uid="{917C3D96-4AA9-4D8E-8F4B-AEDAD8831587}">
      <text>
        <t>[Threaded comment]
Your version of Excel allows you to read this threaded comment; however, any edits to it will get removed if the file is opened in a newer version of Excel. Learn more: https://go.microsoft.com/fwlink/?linkid=870924
Comment:
    Nach Andres Input von Business zu Quality verschoben.</t>
      </text>
    </comment>
    <comment ref="J69" authorId="7" shapeId="0" xr:uid="{FDDDF671-A2B6-4958-A032-5551C66219BE}">
      <text>
        <t>[Threaded comment]
Your version of Excel allows you to read this threaded comment; however, any edits to it will get removed if the file is opened in a newer version of Excel. Learn more: https://go.microsoft.com/fwlink/?linkid=870924
Comment:
    Von Knowledge Expansion zu Upskilling gewechselt.</t>
      </text>
    </comment>
    <comment ref="C76" authorId="8" shapeId="0" xr:uid="{9ABBA003-3752-4178-8927-349ABCC5DB99}">
      <text>
        <t>[Threaded comment]
Your version of Excel allows you to read this threaded comment; however, any edits to it will get removed if the file is opened in a newer version of Excel. Learn more: https://go.microsoft.com/fwlink/?linkid=870924
Comment:
    Nach Andres Kommentar zu einer Metrik zusammengefasst.</t>
      </text>
    </comment>
    <comment ref="C80" authorId="9" shapeId="0" xr:uid="{45640671-D7E4-4EA6-9099-D4E52C010FD7}">
      <text>
        <t>[Threaded comment]
Your version of Excel allows you to read this threaded comment; however, any edits to it will get removed if the file is opened in a newer version of Excel. Learn more: https://go.microsoft.com/fwlink/?linkid=870924
Comment:
    Nach Andres Input Availability hinzugefügt.</t>
      </text>
    </comment>
    <comment ref="C90" authorId="10" shapeId="0" xr:uid="{C9FB5614-C3E5-4863-BFB7-AAB3A42EAACD}">
      <text>
        <t>[Threaded comment]
Your version of Excel allows you to read this threaded comment; however, any edits to it will get removed if the file is opened in a newer version of Excel. Learn more: https://go.microsoft.com/fwlink/?linkid=870924
Comment:
    Nach Andres Input. Production Incidents und System Uptime / Availability hinzugefügt.</t>
      </text>
    </comment>
    <comment ref="F90" authorId="11" shapeId="0" xr:uid="{FCC3DA67-C366-4123-AE95-236C8FC56568}">
      <text>
        <t>[Threaded comment]
Your version of Excel allows you to read this threaded comment; however, any edits to it will get removed if the file is opened in a newer version of Excel. Learn more: https://go.microsoft.com/fwlink/?linkid=870924
Comment:
    Nach Andres Input angepasst.</t>
      </text>
    </comment>
    <comment ref="H91" authorId="12" shapeId="0" xr:uid="{24A13EBD-8030-4299-B820-E3DBAA902DCC}">
      <text>
        <t>[Threaded comment]
Your version of Excel allows you to read this threaded comment; however, any edits to it will get removed if the file is opened in a newer version of Excel. Learn more: https://go.microsoft.com/fwlink/?linkid=870924
Comment:
    Nach Andres Anregung von Business zu DevEx/Upskilling gewechselt.</t>
      </text>
    </comment>
    <comment ref="C92" authorId="13" shapeId="0" xr:uid="{65177E12-2939-4BCC-8B47-DB95E81C94F5}">
      <text>
        <t>[Threaded comment]
Your version of Excel allows you to read this threaded comment; however, any edits to it will get removed if the file is opened in a newer version of Excel. Learn more: https://go.microsoft.com/fwlink/?linkid=870924
Comment:
    Zusammengefasst nach Andres Input</t>
      </text>
    </comment>
  </commentList>
</comments>
</file>

<file path=xl/sharedStrings.xml><?xml version="1.0" encoding="utf-8"?>
<sst xmlns="http://schemas.openxmlformats.org/spreadsheetml/2006/main" count="1882" uniqueCount="735">
  <si>
    <t>id</t>
  </si>
  <si>
    <t>Name</t>
  </si>
  <si>
    <t>AlsoKnownAs</t>
  </si>
  <si>
    <t>Definition</t>
  </si>
  <si>
    <t>Qual vs. quant</t>
  </si>
  <si>
    <t>Cardsort Group</t>
  </si>
  <si>
    <t>Cardsort Group ID</t>
  </si>
  <si>
    <t>Cardsort Subgroup</t>
  </si>
  <si>
    <t>Cardsort Subgroup ID</t>
  </si>
  <si>
    <t>IS_Research</t>
  </si>
  <si>
    <t>-</t>
  </si>
  <si>
    <t>Business</t>
  </si>
  <si>
    <t>Operational Flexibility</t>
  </si>
  <si>
    <t>Adoption Rate</t>
  </si>
  <si>
    <t>% Adoption of Standards; % Adoption to Golden Standards</t>
  </si>
  <si>
    <t>Relates to engineers’ uptake and sustained use of internal tools, workflows, and platforms, reflecting how effectively these resources integrate into daily workflows and solve critical problems. It serves as a key metric for assessing DevEx success and alignment with productivity goals.</t>
  </si>
  <si>
    <t>Process</t>
  </si>
  <si>
    <t>Efficiency</t>
  </si>
  <si>
    <t>Optimal Resource Allocation</t>
  </si>
  <si>
    <t>Application Startup Duration</t>
  </si>
  <si>
    <t>Lattice</t>
  </si>
  <si>
    <t>The time needed to startup an application locally.</t>
  </si>
  <si>
    <t>System</t>
  </si>
  <si>
    <t>Build Time</t>
  </si>
  <si>
    <t>Average Focus Time per Engineer</t>
  </si>
  <si>
    <t>The average focus time without interruptions per engineer.</t>
  </si>
  <si>
    <t>Focus Work</t>
  </si>
  <si>
    <t>Branch Creation to Master Merge Time</t>
  </si>
  <si>
    <t>The time elapsed between branch creation until master merge.</t>
  </si>
  <si>
    <t>Cycle Time</t>
  </si>
  <si>
    <t>Burnout</t>
  </si>
  <si>
    <t>Evaluates developers’ mental health, job fulfillment, and workplace conditions. It serves as a critical indicator of systemic issues that harm productivity and retention.</t>
  </si>
  <si>
    <t>Work Load</t>
  </si>
  <si>
    <t>Business Objective Advancement</t>
  </si>
  <si>
    <t>Refers to measuring how effectively software development efforts align with and contribute to achieving specific organizational goals. This metric focuses on outcome-driven impact rather than raw activity metrics (e.g., lines of code, commits).</t>
  </si>
  <si>
    <t>Change Failure Rate</t>
  </si>
  <si>
    <t>The percentage of changes that result in degraded service or require remediation (e.g., lead to service impairment or outage, require a hotfix, rollback, fix forward, or patch).</t>
  </si>
  <si>
    <t>Quality</t>
  </si>
  <si>
    <t>Failure Rate</t>
  </si>
  <si>
    <t>CI Determinism</t>
  </si>
  <si>
    <t>LinkedIn</t>
  </si>
  <si>
    <t>The opposite of test flakiness: the chance that a test suite’s result will be valid (not a flake) ensures that identical inputs in a continuous integration (CI) pipeline always produce the same outputs (binaries, artifacts, test results). This guarantees reproducibility, reliability, and traceability in software builds, critical for debugging, compliance, and safety-critical systems.</t>
  </si>
  <si>
    <t>Test Coverage</t>
  </si>
  <si>
    <t>CI Pipeline Failure Rate</t>
  </si>
  <si>
    <t xml:space="preserve">Measures the percentage of builds or automated workflows in a continuous integration (CI) system that fail due to errors (e.g., compilation issues, test failures, dependency conflicts). </t>
  </si>
  <si>
    <t>CI Pipeline P50 Build Time</t>
  </si>
  <si>
    <t>Refers to the median duration of successful builds in a continuous integration (CI) pipeline, representing the time by which 50% of builds complete. It is calculated by ordering all successful build durations and selecting the middle value, providing a reliable measure of typical performance while filtering out outliers.</t>
  </si>
  <si>
    <t>Code Churn</t>
  </si>
  <si>
    <t>Is the amount of code rewritten shortly after being written.</t>
  </si>
  <si>
    <t>Code Rework</t>
  </si>
  <si>
    <t>Code Review Timing and Velocity</t>
  </si>
  <si>
    <t>Code Review Response Times; Code Reviewer Response Time (P50 and P90); Coding vs. Code Review</t>
  </si>
  <si>
    <t>Measures how long it takes, in business hours, for code reviewers to respond to each update of the code review from the author.</t>
  </si>
  <si>
    <t>Team</t>
  </si>
  <si>
    <t>Code Rework Rate</t>
  </si>
  <si>
    <t>Is the percentage of code changes that modify recently changed code.</t>
  </si>
  <si>
    <t>Produced Code</t>
  </si>
  <si>
    <t>Tracks contributions to the codebase (e.g., commits, PRs).</t>
  </si>
  <si>
    <t>DevOutput</t>
  </si>
  <si>
    <t>Output</t>
  </si>
  <si>
    <t>Cognitive Load</t>
  </si>
  <si>
    <t>The mental effort required to perform tasks. Avoiding multitasking, high WIP (work in progress) counts, and attention splitting to maintain focus and reduce cognitive overhead.</t>
  </si>
  <si>
    <t>Ease of Delivery</t>
  </si>
  <si>
    <t>Accuracy</t>
  </si>
  <si>
    <t>Continuous Integration and Deployment (CI/CD)</t>
  </si>
  <si>
    <t>Measures the effectiveness of automated build, test, and deployment processes in enabling rapid, reliable software delivery.</t>
  </si>
  <si>
    <t>Contribution Analysis</t>
  </si>
  <si>
    <t>McKinsey Framework</t>
  </si>
  <si>
    <t>Assesses how individual developers and teams contribute to the software development process, with the goal of identifying trends that may inhibit or optimize team capacity and performance.</t>
  </si>
  <si>
    <t>Task Assignment</t>
  </si>
  <si>
    <t>Cost Savings</t>
  </si>
  <si>
    <t>EEBO Framework</t>
  </si>
  <si>
    <t>Relates to strategic reductions in product development and operational expenses achieved through optimized engineering practices, aligning technical efficiency with business profitability. This is measured by tracking how engineering improvements directly lower costs while maintaining quality and delivery speed.</t>
  </si>
  <si>
    <t>Customer Experience and Satisfaction</t>
  </si>
  <si>
    <t>Customer Experience; Customer Satisfaction; Customer Satisfaction Scores; User/customer satisfaction</t>
  </si>
  <si>
    <t>Measures how pleased customers are with a product, service, or interaction, typically via surveys. Responses are aggregated into a percentage score representing the proportion of satisfied customers</t>
  </si>
  <si>
    <t>Customer</t>
  </si>
  <si>
    <t>Customer-Reported Defects</t>
  </si>
  <si>
    <t>Bugs found by customers in production.</t>
  </si>
  <si>
    <t>Measures the time from code commit to code running in production. Shows how quickly team can respond to business needs.</t>
  </si>
  <si>
    <t>Deep Work</t>
  </si>
  <si>
    <t>GoodRx</t>
  </si>
  <si>
    <t>Measures the percentage of uninterrupted, meeting-free blocks of time that allow developers to enter a flow state and concentrate deeply on their work.</t>
  </si>
  <si>
    <t>Defects</t>
  </si>
  <si>
    <t>The number of errors or failures in the software, which indicates the quality of the delivered value.</t>
  </si>
  <si>
    <t>Deployment Frequency</t>
  </si>
  <si>
    <t>How often an organization deploys code to production or releases it to end users.</t>
  </si>
  <si>
    <t>Deployment Success Rate</t>
  </si>
  <si>
    <t>Measures how often deployments succeed.</t>
  </si>
  <si>
    <t>Code Quality</t>
  </si>
  <si>
    <t>Deploys per Service</t>
  </si>
  <si>
    <t>Amplitude</t>
  </si>
  <si>
    <t>This metric in software engineering measures how often a specific service or microservice is deployed within a given timeframe. This metric is commonly used in DevOps and microservices architectures to track deployment frequency across different services.</t>
  </si>
  <si>
    <t>Design</t>
  </si>
  <si>
    <t>Captures documentation quality, architectural decisions, and prototyping efforts.</t>
  </si>
  <si>
    <t>Self-Service and Documentation</t>
  </si>
  <si>
    <t>Local Build Time</t>
  </si>
  <si>
    <t>Measures the time, in seconds, developers spend waiting for their builds to finish locally during development. Impacts developer flow and productivity.</t>
  </si>
  <si>
    <t>Developer Efficacy</t>
  </si>
  <si>
    <t>Refers to the holistic effectiveness of developers in achieving meaningful outcomes, balancing technical output with well-being, collaboration, and workflow efficiency. It integrates multiple SPACE dimensions to assess how effectively developers translate effort into impactful results.</t>
  </si>
  <si>
    <t>Impact and Efficacy</t>
  </si>
  <si>
    <t>Developer Satisfaction</t>
  </si>
  <si>
    <t>Customer satisfaction score for developers. Measures developer and team happiness with regards to development systems.</t>
  </si>
  <si>
    <t>Satisfaction</t>
  </si>
  <si>
    <t>Developer Velocity Index Benchmark</t>
  </si>
  <si>
    <t>The Developer Velocity Index (DVI) is a survey that measures an enterprise’s technology, working practices, and organizational enablement and benchmarks them against peers. This comparison helps unearth specific areas of opportunity, whether in backlog management, testing, or security and compliance. For example, one company, well known for its technological progress and all-star developers, sought to define standard working practices more thoughtfully for cross-team collaboration after discovering a high amount of dissatisfaction, rework, and inefficiency reported by developers.</t>
  </si>
  <si>
    <t>Diff Authoring Time</t>
  </si>
  <si>
    <t>Aims to capture all active human developertime spent on a particular diff, split by the different roles involved. This information is made available in a privacy-aware manner. Active human work on a computer tends to be highly sequential, even if such individual sequences can be extremely short.</t>
  </si>
  <si>
    <t>Discoverability of Documentation and Expertise</t>
  </si>
  <si>
    <t>Refers to how easily developers can locate critical information (e.g., codebase guides, API references) or identify colleagues with specific knowledge.</t>
  </si>
  <si>
    <t>Ease</t>
  </si>
  <si>
    <t>Refers to how simple, straightforward, and frictionless it is for developers or teams to deliver software, features, or updates through their development processes and tooling. Captures the perceived and actual effort required to move work from development to production.</t>
  </si>
  <si>
    <t>Engineer Engagement</t>
  </si>
  <si>
    <t>Refers to the emotional commitment, motivation, and involvement that software engineers or developers have toward their work, team, and organization.</t>
  </si>
  <si>
    <t>Error Rates</t>
  </si>
  <si>
    <t>Quantifies the frequency of user or system mistakes during interactions with a product (e.g., failed API requests, UI slips, or task errors)</t>
  </si>
  <si>
    <t>Experience of New Members</t>
  </si>
  <si>
    <t>Is a combination of satisfaction, well-being and integration indicators to ensure new developers feel supported, included and able to contribute effectively.</t>
  </si>
  <si>
    <t>Onboarding</t>
  </si>
  <si>
    <t>Experiment Velocity</t>
  </si>
  <si>
    <t>Etsy</t>
  </si>
  <si>
    <t>Refers to the speed and efficiency at which the platform conducts and evaluates A/B tests to optimize features, algorithms, and user experiences.</t>
  </si>
  <si>
    <t>Performance</t>
  </si>
  <si>
    <t>Failed Deployment Recovery Time</t>
  </si>
  <si>
    <t>The average time it takes to restore service when a software change causes an outage or service failure in production.</t>
  </si>
  <si>
    <t>Failure Recovery</t>
  </si>
  <si>
    <t>Feedback Loops</t>
  </si>
  <si>
    <t>The speed and quality of responses to developer actions.</t>
  </si>
  <si>
    <t>Collaboration</t>
  </si>
  <si>
    <t>Flow State</t>
  </si>
  <si>
    <t>The ability to work with focus and enjoyment.</t>
  </si>
  <si>
    <t>Flow Through the System</t>
  </si>
  <si>
    <t>Measures the velocity of the system.</t>
  </si>
  <si>
    <t>Handoffs</t>
  </si>
  <si>
    <t>Measures the number of handoffs in the process.</t>
  </si>
  <si>
    <t>Impact</t>
  </si>
  <si>
    <t>Evaluates the tangible outcomes and value delivered by development efforts. Unlike raw outputs (e.g., lines of code), impact focuses on business results and user-centric effects of software work. Making significant contributions to one’s business unit or area of ownership, ensuring that work has a tangible impact.</t>
  </si>
  <si>
    <t>Initiative Progress and ROI</t>
  </si>
  <si>
    <t>DXI Framework</t>
  </si>
  <si>
    <t>Measures the financial impact and advancement of specific developer experience (DevEx) improvement projects, linking technical efforts to business outcomes. It evaluates whether investments in tools, processes, or workflows deliver measurable returns.</t>
  </si>
  <si>
    <t>Inner / Outer Loop Time Spent</t>
  </si>
  <si>
    <t>To identify specific areas for improvement, it’s helpful to think of the activities involved in software development as being arranged in two loops. An inner loop comprises activities directly related to creating the product: coding, building, and unit testing. An outer loop comprises other tasks developers must do to push their code to production: integration, integration testing, releasing, and deployment. From both a productivity and personal-experience standpoint, maximizing the amount of time developers spend in the inner loop is desirable: building products directly generates value and is what most developers are excited to do. Outer-loop activities are seen by most developers as necessary but generally unsatisfying chores. Putting time into better tooling and automation for the outer loop allows developers to spend more time on inner-loop activities.</t>
  </si>
  <si>
    <t>Interruptions</t>
  </si>
  <si>
    <t>Measures the number of interruptions.</t>
  </si>
  <si>
    <t>Upskilling</t>
  </si>
  <si>
    <t>Lead Time</t>
  </si>
  <si>
    <t>Lead Time for Changes</t>
  </si>
  <si>
    <t>The time it takes to go from code committed to code successfully running in production.
Measures the time between code commit and the start of the release to determine how long it takes to deliver value to your customers.</t>
  </si>
  <si>
    <t>Line Coverage</t>
  </si>
  <si>
    <t>Peloton</t>
  </si>
  <si>
    <t>Line Coverage is a code coverage metric that measures the percentage of lines in a codebase that have been executed during testing. It helps determine how well a test suite exercises the code.</t>
  </si>
  <si>
    <t>Linting Duration</t>
  </si>
  <si>
    <t>The duration needed to lint apps and packages locally.</t>
  </si>
  <si>
    <t>Mean Time to Recover</t>
  </si>
  <si>
    <t>Mean Time to Recover (MTTR) is a key DevOps and IT reliability metric that measures the average time it takes to restore a system after a failure. It reflects how quickly teams can diagnose, fix, and recover from incidents.
Time from bug report to fix deployment. Shows quality response capability.</t>
  </si>
  <si>
    <t>Meeting Team Goals</t>
  </si>
  <si>
    <t>When bottlenecks and inefficiencies are discovered (as informed by industry benchmarks), effective teams set data-backed goals against them (in addition to automated workflows). Regularly attaining these goals indicates both developer effectiveness and a good developer experience.</t>
  </si>
  <si>
    <t>Network metrics that show who is connected to whom and how.</t>
  </si>
  <si>
    <t>Number of Deployments</t>
  </si>
  <si>
    <t>Measures the number of deployments.</t>
  </si>
  <si>
    <t>Number of Escaped Bugs</t>
  </si>
  <si>
    <t>Tracks the number of defects or issues that escape testing and reach production. It measures the effectiveness of testing processes and helps identify weaknesses in quality assurance .</t>
  </si>
  <si>
    <t>Number of Handoffs in a Process</t>
  </si>
  <si>
    <t>Tracks how many times work is transferred between individuals, teams, or systems during a workflow.</t>
  </si>
  <si>
    <t>Onboarding Time for New Members</t>
  </si>
  <si>
    <t>Measures the onboarding time for new members.</t>
  </si>
  <si>
    <t>HR</t>
  </si>
  <si>
    <t>Operational Activity</t>
  </si>
  <si>
    <t>Refers to the routine tasks and processes required to maintain, monitor, and support software systems in production. These activities ensure the system remains stable, secure, and performant while minimizing downtime.</t>
  </si>
  <si>
    <t>Reliability and Stability</t>
  </si>
  <si>
    <t>Operational Efficiency</t>
  </si>
  <si>
    <t>Measures how effectively a software team or system uses resources. It focuses on optimizing workflows, reducing bottlenecks, and improving performance.</t>
  </si>
  <si>
    <t>Operational Excellence</t>
  </si>
  <si>
    <t>The ability of a software development team to consistently deliver high-quality software, maintain system reliability, and optimize processes while continuously improving efficiency.</t>
  </si>
  <si>
    <t>Operational Health and Security Metrics</t>
  </si>
  <si>
    <t>Metrics that track system performance, reliability, and efficiency in production.</t>
  </si>
  <si>
    <t>Perceived Ability to Stay in Flow</t>
  </si>
  <si>
    <t>The perceived ability to work without interruption on a task.</t>
  </si>
  <si>
    <t>Perceived Productivity</t>
  </si>
  <si>
    <t>Self-reported Productivity</t>
  </si>
  <si>
    <t>The perceived productivity by an individual.</t>
  </si>
  <si>
    <t>Perceived Rate of Delivery</t>
  </si>
  <si>
    <t>A subjective metric that reflects how fast stakeholders (e.g., customers, executives, or internal teams) believe software is being delivered, regardless of the actual speed. It’s influenced by communication, transparency, and user experience rather than just raw deployment frequency.</t>
  </si>
  <si>
    <t>Perceived Software Quality</t>
  </si>
  <si>
    <t>Evaluates how users perceive the overall quality of a software product. This metric is subjective and focuses on user satisfaction, usability, and the software’s ability to meet user expectations. It often involves collecting feedback through surveys, such as Customer Satisfaction (CSAT) scores, which measure user perceptions of quality based on their experience with the product.</t>
  </si>
  <si>
    <t>Percentage of PRs under 250 lines</t>
  </si>
  <si>
    <t>The percentage of PRs under 250 lines. A higher percentage indicates that most PRs are relatively small, which is generally considered beneficial because smaller PRs are easier to review, less likely to introduce defects, and can be merged more quickly.</t>
  </si>
  <si>
    <t>Percentage of Regrettable Attrition</t>
  </si>
  <si>
    <t>Refers to the voluntary departure of highly valued employees whose loss significantly impacts the organization.</t>
  </si>
  <si>
    <t>Percentage of Time Spent on New Capabilities</t>
  </si>
  <si>
    <t xml:space="preserve">Measures the proportion of a team's time dedicated to building new features or capabilities, as opposed to activities like maintenance, bug fixes, or refactoring. </t>
  </si>
  <si>
    <t>Relates to system efficiency, code quality, and workflow reliability, ensuring tools and processes enable developers to deliver high-quality code with minimal friction. It emphasizes both technical outcomes (e.g., system stability) and developer-centric metrics (e.g., deploy speed).</t>
  </si>
  <si>
    <t>Post-Commit CI Speed</t>
  </si>
  <si>
    <t>Measures how long it takes, in minutes, for each commit to get through the continuous integration (CI) pipeline.</t>
  </si>
  <si>
    <t>Pull Request Cycle Time</t>
  </si>
  <si>
    <t>Measures the total time a pull request spends in all stages of the development pipeline, from the first commit to when the pull request is merged into the codebase. It provides insights into the efficiency of the code review and merging process, helping teams identify bottlenecks and improve workflows.</t>
  </si>
  <si>
    <t>Pull Request Maturity</t>
  </si>
  <si>
    <t xml:space="preserve">It measures the percentage of code changes that occur within a pull request after it has been submitted for review. It aims at minimizing the back-and-forth in pull requests to ensure quick and decisive reviews, leading to faster integration of code changes. </t>
  </si>
  <si>
    <t>Pull Request Size</t>
  </si>
  <si>
    <t>An indicator of overall efficiency. Small PRs mean faster pickup time, reviews, and cycles–translating to faster time to value.</t>
  </si>
  <si>
    <t>Custom Quality Metric</t>
  </si>
  <si>
    <t>Relates to code reliability, maintainability, and alignment with user/business outcomes. It is measured through metrics that assess both technical rigor and real-world impact, emphasizing sustainable practices over superficial outputs.</t>
  </si>
  <si>
    <t>Quality of Documentation</t>
  </si>
  <si>
    <t>Measures how well documentation supports the software development process, particularly in enabling developers to work efficiently and effectively.</t>
  </si>
  <si>
    <t>Quality of Code Reviews</t>
  </si>
  <si>
    <t>Measures quality of code reviews contributed by team members.</t>
  </si>
  <si>
    <t>R&amp;D as Percentage of Revenue</t>
  </si>
  <si>
    <t>Measures how much of a company’s total revenue is invested in research and development (R&amp;D).</t>
  </si>
  <si>
    <t>Release Frequency</t>
  </si>
  <si>
    <t>How often features reach users.</t>
  </si>
  <si>
    <t>Reliability</t>
  </si>
  <si>
    <t>Availability</t>
  </si>
  <si>
    <t xml:space="preserve">Assesses operational performance including availability, latency, performance, and scalability. </t>
  </si>
  <si>
    <t>Response Time</t>
  </si>
  <si>
    <t>Measures the server’s speed in fulfilling user requests.</t>
  </si>
  <si>
    <t>Retention</t>
  </si>
  <si>
    <t>How well an organization retains its employees over a given period.</t>
  </si>
  <si>
    <t>Revenue Growth</t>
  </si>
  <si>
    <t>Measures the growth of revenue.</t>
  </si>
  <si>
    <t>Revenue per Engineer</t>
  </si>
  <si>
    <t>Measures the average revenue per engineer.</t>
  </si>
  <si>
    <t>Self-Serve Dependency Maintenance</t>
  </si>
  <si>
    <t>Atlassian</t>
  </si>
  <si>
    <t>Allows users to resolve issues without needing to rely on IT support.</t>
  </si>
  <si>
    <t>Sentiment</t>
  </si>
  <si>
    <t>Sentiment and Quantitative Metrics for 16+ DevEx Factors</t>
  </si>
  <si>
    <t>Developers’ emotional responses and perceptions of their interactions with tools, documentation, and workflows. It focuses on how developers feel about using the platform and whether they find it empowering, frustrating, or aligned with their goals.</t>
  </si>
  <si>
    <t>Service Uptime and Deployment Speed Metrics</t>
  </si>
  <si>
    <t>Measures service uptime and deployment speed.</t>
  </si>
  <si>
    <t>Speed</t>
  </si>
  <si>
    <t>Relates to how quickly software engineers can accomplish their tasks, focusing on the efficiency of workflows and processes that enable rapid delivery without compromising quality. This includes quantiative metrics (logs for task durations, deployment statistics, and CI/CD pipeline metrics) and qualitative metrics (developer surveys, diary studies, and interviews to understand perceptions and identify pain points).</t>
  </si>
  <si>
    <t>Sprint Velocity</t>
  </si>
  <si>
    <t>The amount of work completed per sprint/time period. Helps with planning and tracking.</t>
  </si>
  <si>
    <t>Stability of Services</t>
  </si>
  <si>
    <t>The stability of services and apps. An improved stability will enable higher operational efficiency as teams will spend less time addressing bugs and outages.</t>
  </si>
  <si>
    <t>Talent Capability Score</t>
  </si>
  <si>
    <t>Evaluates the alignment of an organization's workforce skills with its specific technical, domain, and operational needs. It aims to identify gaps in knowledge or expertise that could constrain delivery capacity or innovation opportunities.</t>
  </si>
  <si>
    <t>Ease of Work</t>
  </si>
  <si>
    <t>Task Completion</t>
  </si>
  <si>
    <t>Measures the task completion (number of story points completed) on an individual or team level.</t>
  </si>
  <si>
    <t>Team Collaboration Effectiveness</t>
  </si>
  <si>
    <t>Measures how effective collaboration in a team is.</t>
  </si>
  <si>
    <t>Technical Debt Ratio</t>
  </si>
  <si>
    <t>Is an estimate of maintenance burden in codebase. It essentially compares the cost of fixing existing technical debt to the total cost of developing the software.</t>
  </si>
  <si>
    <t>Maintenance Burden</t>
  </si>
  <si>
    <t>The percentage of code covered by automated tests. Shows confidence in change safety.</t>
  </si>
  <si>
    <t>Test Runner Duration</t>
  </si>
  <si>
    <t>Measures the duration to run tests for various apps and packages locally.</t>
  </si>
  <si>
    <t>Test Time</t>
  </si>
  <si>
    <t>Time from Commit to Deploy</t>
  </si>
  <si>
    <t>Measures the time from commit to deploy.</t>
  </si>
  <si>
    <t>Time Measures Through a System</t>
  </si>
  <si>
    <t>Measures the time through a system.</t>
  </si>
  <si>
    <t>Time Spent in Code Review</t>
  </si>
  <si>
    <t>Measures the time developers spend reviewing others’ code.</t>
  </si>
  <si>
    <t>Time to Market for New Features</t>
  </si>
  <si>
    <t>Is a metric that measures the duration from the initial conception of a feature to its availability for end-users</t>
  </si>
  <si>
    <t>Time to Xth Pull Request</t>
  </si>
  <si>
    <t>Time to 10th PR; Time to 1st and 10th PR; Time to First Commit</t>
  </si>
  <si>
    <t xml:space="preserve">Is a metric that measures the time it takes for a new engineer to create their 1st and 10th pull request (PR) after joining a development team or platform (e.g., GitHub). </t>
  </si>
  <si>
    <t>Weekly Deployments per Weekly Active Developer</t>
  </si>
  <si>
    <t>Spotify</t>
  </si>
  <si>
    <t>Measures the amount of weekly deployments per weekly active developer.</t>
  </si>
  <si>
    <t>Weekly Number of Code Reviews per Developer</t>
  </si>
  <si>
    <t>Uber</t>
  </si>
  <si>
    <t>The weekly number of code reviews per engineer.</t>
  </si>
  <si>
    <t>Weekly Number of Design DOCs Generated per Developer</t>
  </si>
  <si>
    <t>The weekly number of design documents generated per engineer.</t>
  </si>
  <si>
    <t>Weekly Time Loss</t>
  </si>
  <si>
    <t>Is a metric that quantifies the amount of developer time lost each week due to various inefficiencies, such as outdated tools, unclear requirements, excessive meetings, frequent context switching, or technical debt. It highlights the impact of these obstacles on productive coding and overall job satisfaction.</t>
  </si>
  <si>
    <t>Company</t>
  </si>
  <si>
    <t>Research</t>
  </si>
  <si>
    <t>SPACE Framework</t>
  </si>
  <si>
    <t>Av. Weekly Focus Time per Engineer; Avg. Number of Days with Sufficient Focus Time; Focus Time and Interruption Metrics; Uninterrupted Focus Time</t>
  </si>
  <si>
    <t>Work-life Balance Indicators</t>
  </si>
  <si>
    <t>KLOC - Lines of Code; Code Owned by Time; Committed Source Lines of Code by Time; Source Lines of Code by Time; Lines Deleted; Lines Inserted; Number of Lines of Code Modified; Engineering Productivity</t>
  </si>
  <si>
    <t>Cognitive Effort</t>
  </si>
  <si>
    <t>Number of Modifications / Modules / WorkItems / Requirements</t>
  </si>
  <si>
    <t>Defects per Function Point</t>
  </si>
  <si>
    <t>Build Success Rate, Task Success</t>
  </si>
  <si>
    <t>Developer Build Time (P50 and P90); Build Time; NextJS Page Compilation Duration; Application/Package Build Duration; Build Time Efficiency</t>
  </si>
  <si>
    <t>Diff Authoring Time (DAT); Diffs per Engineer (PRs or MRs); Commits Performed by Time; Time Spent per Task; Commit Count, Implementation Time per User Story; Task Completion Time; Coding Time; Time to Commit per LOC Changed</t>
  </si>
  <si>
    <t>Number of Blocked Tickets</t>
  </si>
  <si>
    <t>Time Spent in Value-added Activities; Time Spent in Different Applications/Activities</t>
  </si>
  <si>
    <t>Number and Nature of Interruptions</t>
  </si>
  <si>
    <t>Code Coverage</t>
  </si>
  <si>
    <t>Mean Time to Recover (MTTR); Mean Time to Resolution; Time to Restore Services; Vulnerability Response Time</t>
  </si>
  <si>
    <t>Time to Reach Team Milestones</t>
  </si>
  <si>
    <t>Build Count; Compile Count</t>
  </si>
  <si>
    <t>Number of Issues Logged; Number of Bugs Post Release</t>
  </si>
  <si>
    <t>9; 235</t>
  </si>
  <si>
    <t>New Security Vulnerabilities Introduced</t>
  </si>
  <si>
    <t>Self-Service Documentation; Written Communication Effectiveness Through Design Documents</t>
  </si>
  <si>
    <t>Release Count</t>
  </si>
  <si>
    <t>Employment Retention</t>
  </si>
  <si>
    <t>Production Downtime; Deployment Time</t>
  </si>
  <si>
    <t>Velocity; Developer Velocity</t>
  </si>
  <si>
    <t>Technical Debt</t>
  </si>
  <si>
    <t>Number of Comments Left; PR Review Comments and Requests for Changes</t>
  </si>
  <si>
    <t>9; 31</t>
  </si>
  <si>
    <t>Weekly # of Diffs / PRs per Engineer; Weekly # of PRs per Developer; Number of Features Tested; Number of Changes per Staff Month</t>
  </si>
  <si>
    <t>Bug-related Metrics</t>
  </si>
  <si>
    <t>Priority Tickets/Bugs Undertaken Mid-Sprint; Bugs Fixed; Few Bugs Introduced; Bug Fixing Contribution; Introduced Bugs; Weighted Defects; Bug Resolution Time; Defect Rate; Defect Density; Number of Bugs Closed</t>
  </si>
  <si>
    <t>Career Development Opportunities</t>
  </si>
  <si>
    <t>Complexity</t>
  </si>
  <si>
    <t>Halstead Effort by Time; Average Complexity per Method; Weighted Methods</t>
  </si>
  <si>
    <t>7; 15; 21; 51; 52; 92</t>
  </si>
  <si>
    <t>Costs</t>
  </si>
  <si>
    <t>Investment in Progress, Cost per FP</t>
  </si>
  <si>
    <t>Engagement; Developer Engagement</t>
  </si>
  <si>
    <t>Direct Customer Impact Measures</t>
  </si>
  <si>
    <t>Edit Ratio; Total Number of Changelists</t>
  </si>
  <si>
    <t>Story Points Completed; Function Points; Completion Percentage / Completion Time; Average Number of UFPs Completed; Story Points per Sprnt; Function Points per Month; Product Delivery Rate; Number of Requirements Met; Completed Goals to Planned Goals Ratio; Burn Down Charts; Sprint Burndown Rates</t>
  </si>
  <si>
    <t>PR Time in Review; Code Review Time; Review Time; Median Wall-Clock Review Time; Median Wall-Clock Merge Time</t>
  </si>
  <si>
    <t>D’Angelo et al. (2024)</t>
  </si>
  <si>
    <t>https://doi.org/10.1109/MS.2024.3386027</t>
  </si>
  <si>
    <t>Brown et al. (2023)</t>
  </si>
  <si>
    <t>https://doi.org/10.1109/MS.2023.3305718</t>
  </si>
  <si>
    <t>Oliveira et al. (2020)</t>
  </si>
  <si>
    <t>https://doi.org/10.1007/s10664-020-09820-z</t>
  </si>
  <si>
    <t>Sanwal and Deva (2024)</t>
  </si>
  <si>
    <t>https://www.ijtsrd.com/papers/ijtsrd69393.pdf</t>
  </si>
  <si>
    <t>Gonçales et al. (2019)</t>
  </si>
  <si>
    <t>https://doi.org/10.1109/ICPC.2019.00018</t>
  </si>
  <si>
    <t>Edberg and Bowman (2015)</t>
  </si>
  <si>
    <t>https://doi.org/10.1080/07421222.1996.11518117</t>
  </si>
  <si>
    <t>Kokrehel and Bilicki (2021)</t>
  </si>
  <si>
    <t>https://doi.org/10.1556/606.2021.00372</t>
  </si>
  <si>
    <t>Oliveira et al. (2017)</t>
  </si>
  <si>
    <t>https://doi.org/10.5220/0006314400760087</t>
  </si>
  <si>
    <t>Green et al. (2024)</t>
  </si>
  <si>
    <t>https://doi.org/10.1109/MS.2023.3324830</t>
  </si>
  <si>
    <t>Green et al. (2023)</t>
  </si>
  <si>
    <t>https://doi.org/10.1109/MS.2023.3291158</t>
  </si>
  <si>
    <t>Treude et al. (2015)</t>
  </si>
  <si>
    <t>https://doi.org/10.1145/2786805.2786827</t>
  </si>
  <si>
    <t>Bao et al. (2022)</t>
  </si>
  <si>
    <t>https://doi.org/10.1007/s11432-020-3278-4</t>
  </si>
  <si>
    <t>Cheng et al. (2022)</t>
  </si>
  <si>
    <t>https://doi.org/10.1145/3540250.3558940</t>
  </si>
  <si>
    <t>Kuutila et al. (2020)</t>
  </si>
  <si>
    <t>https://doi.org/10.1145/3387940.3392224</t>
  </si>
  <si>
    <t>Bakal et al. (2025)</t>
  </si>
  <si>
    <t>https://doi.org/10.48550/arXiv.2501.13282</t>
  </si>
  <si>
    <t>Guglielmi et al. (2025)</t>
  </si>
  <si>
    <t>https://doi.org/10.48550/arXiv.2504.06808</t>
  </si>
  <si>
    <t>Gousios et al. (2008)</t>
  </si>
  <si>
    <t>https://doi.org/10.1145/1370750.1370781</t>
  </si>
  <si>
    <t>Moser et al. (2008)</t>
  </si>
  <si>
    <t>https://doi.org/10.1007/978-3-540-85279-7_20</t>
  </si>
  <si>
    <t xml:space="preserve">Madeyski and Szała (2007) </t>
  </si>
  <si>
    <t>https://doi.org/10.1007/978-3-540-75381-0_18</t>
  </si>
  <si>
    <t>Srinivasan et al. (2025)</t>
  </si>
  <si>
    <t>http://dx.doi.org/10.20473/jisebi.11.1.79-90</t>
  </si>
  <si>
    <t>Lima et al. (2015)</t>
  </si>
  <si>
    <t>https://doi.org/10.1109/ICSM.2015.7332509</t>
  </si>
  <si>
    <t>Caulo et al. (2021)</t>
  </si>
  <si>
    <t>https://doi.org/10.1145/3463274.3463327</t>
  </si>
  <si>
    <t>Peng et al. (2023)</t>
  </si>
  <si>
    <t>https://doi.org/10.48550/arXiv.2302.06590</t>
  </si>
  <si>
    <t>Mockus (2009)</t>
  </si>
  <si>
    <t>https://doi.org/10.1109/ICSE.2009.5070509</t>
  </si>
  <si>
    <t>Besker et al. (2019)</t>
  </si>
  <si>
    <t>https://doi.org/10.1016/j.jss.2019.06.004</t>
  </si>
  <si>
    <t>Parrish et al. (2004)</t>
  </si>
  <si>
    <t>https://doi.org/10.1109/MS.2004.1331306</t>
  </si>
  <si>
    <t>https://www.cai.sk/ojs/index.php/cai/article/view/969</t>
  </si>
  <si>
    <t>Solanke (2024)</t>
  </si>
  <si>
    <t>https://www.researchgate.net/publication/390585493_Software_Development_in_the_Age_of_AI_Quantifiable_Frameworks_for_Measuring_Enhanced_Developer_Productivity?enrichId=rgreq-cbf68995c55ab8589b5d2af0c0868704-XXX&amp;enrichSource=Y292ZXJQYWdlOzM5MDU4NTQ5MztBUzoxMTQzMTI4MTM2MTA1MDUxOUAxNzQ0MTE3OTM3MjQ4&amp;el=1_x_2&amp;_esc=publicationCoverPdf</t>
  </si>
  <si>
    <t>Duncan (1988)</t>
  </si>
  <si>
    <t>https://doi.org/10.1109/ICSE.1988.93686</t>
  </si>
  <si>
    <t>James (2024)</t>
  </si>
  <si>
    <t>https://www.researchgate.net/publication/385353040_Assessing_Developer_Productivity_and_Error_Reduction_with_TDD_and_BDD_Metrics?enrichId=rgreq-45cd3ad7386eef3482e34c5b530bcfa9-XXX&amp;enrichSource=Y292ZXJQYWdlOzM4NTM1MzA0MDtBUzoxMTQzMTI4MTI4NzM3OTE1N0AxNzMwMjUxNzkxOTc3&amp;el=1_x_2&amp;_esc=publicationCoverPdf</t>
  </si>
  <si>
    <t>Beller et al. (2025)</t>
  </si>
  <si>
    <t>https://doi.org/10.48550/arXiv.2503.10977</t>
  </si>
  <si>
    <t>Sarimbekov et al (2014</t>
  </si>
  <si>
    <t>https://doi.org/10.1016/j.scico.2014.03.014</t>
  </si>
  <si>
    <t>DX (2024a)</t>
  </si>
  <si>
    <t>https://getdx.com/blog/how-google-measures-developer-productivity/</t>
  </si>
  <si>
    <t>Google</t>
  </si>
  <si>
    <t>Gitpod (2025)</t>
  </si>
  <si>
    <t>https://www.gitpod.io/blog/20-most-popular-developer-productivity-metrics</t>
  </si>
  <si>
    <t>DX (2024b)</t>
  </si>
  <si>
    <t>https://getdx.com/blog/developer-productivity-metrics/</t>
  </si>
  <si>
    <t>Jetbrains (2024)</t>
  </si>
  <si>
    <t>https://www.jetbrains.com/lp/devecosystem-2024/</t>
  </si>
  <si>
    <t>https://www.linkedin.com/blog/engineering/developer-experience-productivity/inside-look-measuring-developer-productivity-and-happiness-at-l</t>
  </si>
  <si>
    <t>Hatica (2024)</t>
  </si>
  <si>
    <t>https://www.hatica.io/blog/how-leading-tech-companies-measure-developer-productivity/</t>
  </si>
  <si>
    <t>gun.io (2025)</t>
  </si>
  <si>
    <t>https://gun.io/news/2025/01/how-to-measure-developer-productivity/</t>
  </si>
  <si>
    <t>https://doi.org/10.1109/MS.2020.3048200</t>
  </si>
  <si>
    <t>https://techcommunity.microsoft.com/blog/azuredevcommunityblog/putting-tools-in-your-hands-to-improve-developer-productivity/2902225</t>
  </si>
  <si>
    <t>https://tech.lattice.com/article/measuring-the-lattice-developer-experience-in-a-systematic-way</t>
  </si>
  <si>
    <t>DX (2025)</t>
  </si>
  <si>
    <t>https://getdx.com/podcast/developer-experience-survey-at-peloton/</t>
  </si>
  <si>
    <t>https://backstage.spotify.com/discover/blog/how-spotify-measures-backstage-roi/</t>
  </si>
  <si>
    <t>Forsgren et al. (2024)</t>
  </si>
  <si>
    <t>inorigin (2025)</t>
  </si>
  <si>
    <t>https://www.inorigin.eu/how-uber-is-measuring-engineering-productivity-2/</t>
  </si>
  <si>
    <t>Wagner and Deissenboeck (2019)</t>
  </si>
  <si>
    <t>https://doi.org/10.1007/978-1-4842-4221-6_4</t>
  </si>
  <si>
    <t>Jaspan and  Sadowski (2019)</t>
  </si>
  <si>
    <t>https://doi.org/10.1007/978-1-4842-4221-6_2</t>
  </si>
  <si>
    <t>Sadowski et al. (2019)</t>
  </si>
  <si>
    <t>https://doi.org/10.1007/978-1-4842-4221-6_5</t>
  </si>
  <si>
    <t>Vogelezang and Heeringen (2019)</t>
  </si>
  <si>
    <t>https://doi.org/10.1007/978-1-4842-4221-6_18</t>
  </si>
  <si>
    <t>Ko (2019)</t>
  </si>
  <si>
    <t>https://doi.org/10.1007/978-1-4842-4221-6_3</t>
  </si>
  <si>
    <t>Murphy-Hill and Wagner (2019)</t>
  </si>
  <si>
    <t>https://doi.org/10.1007/978-1-4842-4221-6_7</t>
  </si>
  <si>
    <t>Storey and Treude (2019)</t>
  </si>
  <si>
    <t>https://doi.org/10.1007/978-1-4842-4221-6_16</t>
  </si>
  <si>
    <t>Murphy et al. (2019)</t>
  </si>
  <si>
    <t>https://doi.org/10.1007/978-1-4842-4221-6_24</t>
  </si>
  <si>
    <t>Brumby et al. (2019)</t>
  </si>
  <si>
    <t>https://doi.org/10.1007/978-1-4842-4221-6_9</t>
  </si>
  <si>
    <t>Treude and Filho (2019)</t>
  </si>
  <si>
    <t>https://doi.org/10.1007/978-1-4842-4221-6_15</t>
  </si>
  <si>
    <t>ref_number</t>
  </si>
  <si>
    <t>ref_name</t>
  </si>
  <si>
    <t>ref_link</t>
  </si>
  <si>
    <t>https://newsletter.pragmaticengineer.com/p/measuring-developer-productivity-bae</t>
  </si>
  <si>
    <t>Orosz and Noda (2024)</t>
  </si>
  <si>
    <t>https://doi.org/10.1109/TSE.2019.2900308</t>
  </si>
  <si>
    <t>Murphy-Hill et al. (2021)</t>
  </si>
  <si>
    <t>DORA Framework</t>
  </si>
  <si>
    <t>https://www.mckinsey.com/industries/technology-media-and-telecommunications/our-insights/yes-you-can-measure-software-developer-productivity#/</t>
  </si>
  <si>
    <t>https://learn.microsoft.com/en-us/assessments/e50f7040-f235-4360-9d1d-cf753e12fed1/</t>
  </si>
  <si>
    <t>https://www.eebo.org/eebo-metrics-emergence.html</t>
  </si>
  <si>
    <t>241; 32</t>
  </si>
  <si>
    <t>506; 15</t>
  </si>
  <si>
    <t>501b</t>
  </si>
  <si>
    <t>501c</t>
  </si>
  <si>
    <t>501b; 501c; 501e; 501d</t>
  </si>
  <si>
    <t>501g</t>
  </si>
  <si>
    <t>501g; 170</t>
  </si>
  <si>
    <t>202a</t>
  </si>
  <si>
    <t>501h</t>
  </si>
  <si>
    <t>501i</t>
  </si>
  <si>
    <t>501k</t>
  </si>
  <si>
    <t>501j; 501l</t>
  </si>
  <si>
    <t>501l</t>
  </si>
  <si>
    <t>501m</t>
  </si>
  <si>
    <t>501n</t>
  </si>
  <si>
    <t>503; 501</t>
  </si>
  <si>
    <t>160; 501</t>
  </si>
  <si>
    <t>503; 506; 241; 501</t>
  </si>
  <si>
    <t>31; 501</t>
  </si>
  <si>
    <t>9; 192; 32; 131</t>
  </si>
  <si>
    <t>501m; 131e;</t>
  </si>
  <si>
    <t>105; 501; 131</t>
  </si>
  <si>
    <t>131m; 131n</t>
  </si>
  <si>
    <t>9; 235; 241; 501; 131</t>
  </si>
  <si>
    <t>501; 131</t>
  </si>
  <si>
    <t>501m; 131l</t>
  </si>
  <si>
    <t>31; 131</t>
  </si>
  <si>
    <t>131b; 131l</t>
  </si>
  <si>
    <t>508; 501; 131</t>
  </si>
  <si>
    <t>70; 131</t>
  </si>
  <si>
    <t>131f; 131g</t>
  </si>
  <si>
    <t>105; 234; 235; 131</t>
  </si>
  <si>
    <t>9; 202</t>
  </si>
  <si>
    <t>131k</t>
  </si>
  <si>
    <t>501o</t>
  </si>
  <si>
    <t>509; 7; 14; 31; 49; 52; 57; 96;108; 192; 234; 32; 131</t>
  </si>
  <si>
    <t>509; 505</t>
  </si>
  <si>
    <t>509; 9</t>
  </si>
  <si>
    <t>504; 214</t>
  </si>
  <si>
    <t>https://doi.org/10.1145/3454122.3454124</t>
  </si>
  <si>
    <t>DevEx Framework</t>
  </si>
  <si>
    <t>https://doi.org/10.1145/3595878</t>
  </si>
  <si>
    <t>https://dora.dev/research/</t>
  </si>
  <si>
    <t>https://getdx.com/research/the-one-number-you-need-to-increase-roi-per-engineer/</t>
  </si>
  <si>
    <t>501a</t>
  </si>
  <si>
    <t>Doordash</t>
  </si>
  <si>
    <t>501d</t>
  </si>
  <si>
    <t>Postman</t>
  </si>
  <si>
    <t>501e</t>
  </si>
  <si>
    <t>Intercom</t>
  </si>
  <si>
    <t>501f</t>
  </si>
  <si>
    <t>Notion</t>
  </si>
  <si>
    <t>501j</t>
  </si>
  <si>
    <t>131a</t>
  </si>
  <si>
    <t>Dropbox</t>
  </si>
  <si>
    <t>131b</t>
  </si>
  <si>
    <t>Netflix</t>
  </si>
  <si>
    <t>131c</t>
  </si>
  <si>
    <t>131d</t>
  </si>
  <si>
    <t>Mozilla</t>
  </si>
  <si>
    <t>131e</t>
  </si>
  <si>
    <t>131f</t>
  </si>
  <si>
    <t>SonarSource</t>
  </si>
  <si>
    <t>131g</t>
  </si>
  <si>
    <t>Square</t>
  </si>
  <si>
    <t>131h</t>
  </si>
  <si>
    <t>131i</t>
  </si>
  <si>
    <t>131j</t>
  </si>
  <si>
    <t>Amazon (AWS)</t>
  </si>
  <si>
    <t>131l</t>
  </si>
  <si>
    <t>131m</t>
  </si>
  <si>
    <t>Adobe</t>
  </si>
  <si>
    <t>131n</t>
  </si>
  <si>
    <t>Salesforce</t>
  </si>
  <si>
    <t>131o</t>
  </si>
  <si>
    <t>131p</t>
  </si>
  <si>
    <t>used widely</t>
  </si>
  <si>
    <t>131q</t>
  </si>
  <si>
    <t>Intel</t>
  </si>
  <si>
    <t>131r</t>
  </si>
  <si>
    <t>IBM</t>
  </si>
  <si>
    <t>131s</t>
  </si>
  <si>
    <t>GitLab</t>
  </si>
  <si>
    <t>131t</t>
  </si>
  <si>
    <t>GitHub</t>
  </si>
  <si>
    <t>183a</t>
  </si>
  <si>
    <t>146a</t>
  </si>
  <si>
    <t>146b</t>
  </si>
  <si>
    <t>Metrics related to cost or investments.</t>
  </si>
  <si>
    <t>Metrics related to bugs or defects along the whole developing process.</t>
  </si>
  <si>
    <t>Coding Behaviors</t>
  </si>
  <si>
    <t>Is a metric that shows  the availability of career advancement opportunities.</t>
  </si>
  <si>
    <t>Metrics related to behaviors in the coding process (e.g., speed of correcting syntactical errors).</t>
  </si>
  <si>
    <t>Metrics related to complexity of methods or tasks in the coding process.</t>
  </si>
  <si>
    <t>Number of companies</t>
  </si>
  <si>
    <t>Number of research</t>
  </si>
  <si>
    <t>telemetry/log-based</t>
  </si>
  <si>
    <t>survey-based</t>
  </si>
  <si>
    <t>Developer Enablement</t>
  </si>
  <si>
    <t>value</t>
  </si>
  <si>
    <t>240; 6; 501;183;</t>
  </si>
  <si>
    <t>6a</t>
  </si>
  <si>
    <t>501n; 501j; 6a</t>
  </si>
  <si>
    <t>32a</t>
  </si>
  <si>
    <t>5a</t>
  </si>
  <si>
    <t>501c; 501l; 501b; 501e; 501g; 501d; 5a</t>
  </si>
  <si>
    <t>509; 5; 160; 501; 115; 146; 183</t>
  </si>
  <si>
    <t>501b; 5a</t>
  </si>
  <si>
    <t xml:space="preserve">5; 501; 115; 183; </t>
  </si>
  <si>
    <t>202a; 131i; 131g</t>
  </si>
  <si>
    <t>509; 131; 202; 146</t>
  </si>
  <si>
    <t>501b; 501d</t>
  </si>
  <si>
    <t>160; 501; 146</t>
  </si>
  <si>
    <t>170; 146b; 131l</t>
  </si>
  <si>
    <t>506; 131; 146; 183; 146</t>
  </si>
  <si>
    <t>170; 131c; 131o; 201</t>
  </si>
  <si>
    <t>50; 234; 131; 146</t>
  </si>
  <si>
    <t>501; 146</t>
  </si>
  <si>
    <t>508; 506; 9; 50; 160; 131; 202; 182; 146</t>
  </si>
  <si>
    <t>509; 505; 506; 508; 9; 160; 202; 146</t>
  </si>
  <si>
    <t>20a</t>
  </si>
  <si>
    <t>503; 7; 13; 15; 31; 36; 46; 47; 49; 51; 52; 92; 101; 111; 233; 237; 20; 32; 501; 131; 232</t>
  </si>
  <si>
    <t>506; 501; 183</t>
  </si>
  <si>
    <t>183a; 209</t>
  </si>
  <si>
    <t>50; 183</t>
  </si>
  <si>
    <t>501; 183</t>
  </si>
  <si>
    <t>503; 501; 183</t>
  </si>
  <si>
    <t>506; 508; 183</t>
  </si>
  <si>
    <t>9; 57; 183</t>
  </si>
  <si>
    <t>505; 506; 509; 508; 9; 96; 160; 501; 131; 202; 146; 182</t>
  </si>
  <si>
    <t>232a</t>
  </si>
  <si>
    <t>501k; 131e; 199; 232a</t>
  </si>
  <si>
    <t>105; 501; 131; 232</t>
  </si>
  <si>
    <t>508; 237; 232</t>
  </si>
  <si>
    <t>9; 21; 51; 92; 96; 101; 105; 237; 232</t>
  </si>
  <si>
    <t>https://github.blog/news-insights/research/research-how-github-copilot-helps-improve-developer-productivity/</t>
  </si>
  <si>
    <t>Meyer et al. (2014)</t>
  </si>
  <si>
    <t>5; 160; 501; 19; 39</t>
  </si>
  <si>
    <t>Meyer et al. (2017)</t>
  </si>
  <si>
    <t>https://slack.engineering/mobile-developer-experience-at-slack/</t>
  </si>
  <si>
    <t>Slack</t>
  </si>
  <si>
    <t>Stability; Stability (CFR and MTTR); Stability of Services/Apps; Production Incidents; System Uptime / Availability; CI Stability</t>
  </si>
  <si>
    <t>501b; 501a; 131k; 131j; 510</t>
  </si>
  <si>
    <t>Test Failure Rate</t>
  </si>
  <si>
    <t>A metric used to measure the percentage of test cases that fail during a specific testing period or for a particular software build.</t>
  </si>
  <si>
    <t>https://doi.org/10.1109/TSE.2017.2656886</t>
  </si>
  <si>
    <t>https://doi.org/10.1145/2635868.2635892</t>
  </si>
  <si>
    <t>506; 238; 39</t>
  </si>
  <si>
    <t>508; 9</t>
  </si>
  <si>
    <t>Beller et al. (2020)</t>
  </si>
  <si>
    <t>http://dx.doi.org/10.1145/3643140</t>
  </si>
  <si>
    <t>Unluturk and Kurtel (2016)</t>
  </si>
  <si>
    <t>506; 501</t>
  </si>
  <si>
    <t>https://newsletter.pragmaticengineer.com/p/how-tech-companies-measure-the-impact-of-ai</t>
  </si>
  <si>
    <t>511</t>
  </si>
  <si>
    <t>Orosz and Tacho (2025)</t>
  </si>
  <si>
    <t>511a</t>
  </si>
  <si>
    <t>Monzo</t>
  </si>
  <si>
    <t>Adyen</t>
  </si>
  <si>
    <t>Booking.com</t>
  </si>
  <si>
    <t>Glassdoor</t>
  </si>
  <si>
    <t>Webflow</t>
  </si>
  <si>
    <t>Toast</t>
  </si>
  <si>
    <t>eBay</t>
  </si>
  <si>
    <t>CircleCI</t>
  </si>
  <si>
    <t>CarGurus</t>
  </si>
  <si>
    <t>Xero</t>
  </si>
  <si>
    <t>511b</t>
  </si>
  <si>
    <t>511c</t>
  </si>
  <si>
    <t>511d</t>
  </si>
  <si>
    <t>511e</t>
  </si>
  <si>
    <t>511f</t>
  </si>
  <si>
    <t>511g</t>
  </si>
  <si>
    <t>511h</t>
  </si>
  <si>
    <t>511i</t>
  </si>
  <si>
    <t>511j</t>
  </si>
  <si>
    <t>511k</t>
  </si>
  <si>
    <t>511l</t>
  </si>
  <si>
    <t>511m</t>
  </si>
  <si>
    <t>511n</t>
  </si>
  <si>
    <t>511o</t>
  </si>
  <si>
    <t>511p</t>
  </si>
  <si>
    <t>T-Mobile</t>
  </si>
  <si>
    <t>Grammarly</t>
  </si>
  <si>
    <t>DAU/WAU/MAU for AI tools</t>
  </si>
  <si>
    <t>Daily, weekly or monthly active users of deployed AI tools.</t>
  </si>
  <si>
    <t>Microsoft</t>
  </si>
  <si>
    <t>Utilization</t>
  </si>
  <si>
    <t>Related Metrics</t>
  </si>
  <si>
    <t>PRs assisted by AI</t>
  </si>
  <si>
    <t>Percentage of Pull Requests assisted by AI</t>
  </si>
  <si>
    <t>511e; 511g</t>
  </si>
  <si>
    <t>Code written by AI</t>
  </si>
  <si>
    <t>Percentage of code drafted or submitted by AI</t>
  </si>
  <si>
    <t>501m; 131p; 32a; 232a; 511b</t>
  </si>
  <si>
    <t>None</t>
  </si>
  <si>
    <t>501a; 501b; 501k; 511a; 511b; 511c; 511d; 511e; 511f; 511g; 511h; 511i; 511j; 511k; 511l; 511m; 511n; 511o; 511p</t>
  </si>
  <si>
    <t>AI Specific Category</t>
  </si>
  <si>
    <t>Acceptance rate of AI suggestions</t>
  </si>
  <si>
    <t>511b; 511e; 511h; 511o; 511p</t>
  </si>
  <si>
    <t>Metric used for various aspect, such as estimating how much AI code reaches production, satisfaction proxy or for product decisions.</t>
  </si>
  <si>
    <t>Cost</t>
  </si>
  <si>
    <t>AI Power users</t>
  </si>
  <si>
    <t>AI Spend</t>
  </si>
  <si>
    <t>Unused AI licenses</t>
  </si>
  <si>
    <t>Identifying power users to help exchanging best practices.</t>
  </si>
  <si>
    <t>Identifying unused AI licenses to foster adoption or save costs.</t>
  </si>
  <si>
    <t>2</t>
  </si>
  <si>
    <t>511b; 511c; 511e; 511h; 511i</t>
  </si>
  <si>
    <t>138</t>
  </si>
  <si>
    <t>Costs or capacity of AI use.</t>
  </si>
  <si>
    <t>AI adoption in products</t>
  </si>
  <si>
    <t>Monitors AI being built into products, not just used by engineers.</t>
  </si>
  <si>
    <t>511q</t>
  </si>
  <si>
    <t>Vanguard</t>
  </si>
  <si>
    <t>AI usage intensity; AI usage events; % of developers using AI chat features; AI model usage; AI developer tool adoption</t>
  </si>
  <si>
    <t>511a; 511b; 511c; 511d; 511e; 511f; 511g; 511h; 511i; 511j; 511k; 511l; 511m; 511n; 511o; 511p; 511q</t>
  </si>
  <si>
    <t>Time savings</t>
  </si>
  <si>
    <t>Estimated time savings from using AI</t>
  </si>
  <si>
    <t>24</t>
  </si>
  <si>
    <t>Throughput</t>
  </si>
  <si>
    <t>The number of features, stories, PRs / diffs, … completed per developer within a time interval (e.g. week).</t>
  </si>
  <si>
    <t>501n; 501j; 209; 511e; 511g; 511a; 511c; 511d; 511e; 511f; 511g; 511j; 511k; 511m; 511n; 511p</t>
  </si>
  <si>
    <t>501c; 131h; 501g; 202a; 511a; 511c; 511d; 511r; 511f; 511g; 511j; 511k; 511m; 511i</t>
  </si>
  <si>
    <t>511r</t>
  </si>
  <si>
    <t>Time From Creating a Patch to Patch Release; Time to Value; Time to Merge (TTM); PR Cycle Time</t>
  </si>
  <si>
    <t>501m; 131i; 501d; 209; 510; 511b; 511r; 511m; 511h; 511q; 511p</t>
  </si>
  <si>
    <t>Unit Test Quality; Code Quality; Process Quality; System Quality; Code Maintainability</t>
  </si>
  <si>
    <t>501m; 5a; 511a; 511f</t>
  </si>
  <si>
    <t>Developers' confidence that a change won't change production</t>
  </si>
  <si>
    <t>109</t>
  </si>
  <si>
    <t>146b; 131k; 131b; 202a; 501k; 146a; 209; 511i; 511d</t>
  </si>
  <si>
    <t>202a; 511i; 511l</t>
  </si>
  <si>
    <t>501o; 131a; 131d; 131m; 202a; 511i; 511l</t>
  </si>
  <si>
    <t>Innovation rate</t>
  </si>
  <si>
    <t>511a; 511j; 511h</t>
  </si>
  <si>
    <t>Developer CSAT; Developer Experience Index (DXI); Developer Satisfaction Score; Developer Sentiment; Developer Survey with a Focus on Perceptions of Friction; DSAT (Developer Satisfaction); Employee satisfaction; Net User Satisfaction (NSAT); Satisfaction; Satisfaction with Engineering System; Platform and Tool Satisfaction; Developer Ratings for the New System; AI tool CSAT; Bad developer days</t>
  </si>
  <si>
    <t>Time to Release; Feature Delivery Time; Innovation Velocity</t>
  </si>
  <si>
    <t>232a; 511r</t>
  </si>
  <si>
    <t>131s; 131t; 32a; 511b</t>
  </si>
  <si>
    <t>511a; 511b</t>
  </si>
  <si>
    <t>501e; 501d; 501k; 5a; 203; 511b</t>
  </si>
  <si>
    <t>Friction</t>
  </si>
  <si>
    <t>511b; 511l</t>
  </si>
  <si>
    <t>Monitors friction introduced or removed across the developer workflow.</t>
  </si>
  <si>
    <t>40; 46; 59</t>
  </si>
  <si>
    <t>131l; 32a; 511b; 511h</t>
  </si>
  <si>
    <t>PR revert rate</t>
  </si>
  <si>
    <t>131q; 131r; 511k</t>
  </si>
  <si>
    <t>202a; 511i</t>
  </si>
  <si>
    <t>232a; 511i</t>
  </si>
  <si>
    <t>511a; 511c; 511d; 511f; 511g; 511k; 511l; 511n; 511q; 511p</t>
  </si>
  <si>
    <t>https://getdx.com/uploads/ai-measurement-framework.pdf</t>
  </si>
  <si>
    <t>512</t>
  </si>
  <si>
    <t>Chime</t>
  </si>
  <si>
    <t>Tasks assigned to AI agents</t>
  </si>
  <si>
    <t>Number of tasks that developers assign to their AI agents.</t>
  </si>
  <si>
    <t>509; 506;  503; 43; 96; 202; 235; 5; 6; 160; 501; 131; 183; 146; 512</t>
  </si>
  <si>
    <t>9; 36; 52; 62; 240; 243; 244; 160; 501; 183; 512</t>
  </si>
  <si>
    <t>509; 501; 512</t>
  </si>
  <si>
    <t>503; 9; 17; 5; 115; 501; 115; 183; 182; 512</t>
  </si>
  <si>
    <t>AI change/trust confidence</t>
  </si>
  <si>
    <t>509; 505; 506; 508; 9; 160; 501; 131; 202; 183; 146; 512</t>
  </si>
  <si>
    <t>% capacity worked per AI tool; Agent hourly rate</t>
  </si>
  <si>
    <t>Net time gain per developer</t>
  </si>
  <si>
    <t>Human-equivalent hours of work completed by agents</t>
  </si>
  <si>
    <t>513</t>
  </si>
  <si>
    <t>https://arxiv.org/pdf/2602.03593</t>
  </si>
  <si>
    <t>Chen (2026)</t>
  </si>
  <si>
    <t>504; 11; 96; 214; 513</t>
  </si>
  <si>
    <t>506; 9; 13; 15; 45; 87; 233; 235; 236; 237; 238; 232; 513</t>
  </si>
  <si>
    <t>Self-sufficiency</t>
  </si>
  <si>
    <t>Degree to which AI reduces context-switching and reliance on external resources.</t>
  </si>
  <si>
    <t>Code ownership</t>
  </si>
  <si>
    <t>149</t>
  </si>
  <si>
    <t>Whether developers maintain deep understanding of and accountability for AI-assisted code.</t>
  </si>
  <si>
    <t>506; 512</t>
  </si>
  <si>
    <t>Technical expertise development; Skill development</t>
  </si>
  <si>
    <t>38</t>
  </si>
  <si>
    <t>Ease of peer review</t>
  </si>
  <si>
    <t>Perceived ease and effort to perform a PR.</t>
  </si>
  <si>
    <t>501l;  501a;  202a; 501m; 501i; 501f; 501h; 170; 501d; 6a; 510; 511a; 511b; 511d; 511f; 511j; 511k; 511k; 511l; 511n; 511q; 511c; 511e; 511g; 511h; 511m; 511n; 511r</t>
  </si>
  <si>
    <t>Meta</t>
  </si>
  <si>
    <t>company_size</t>
  </si>
  <si>
    <t>Enterprise</t>
  </si>
  <si>
    <t>5000+ developers</t>
  </si>
  <si>
    <t>developer_count</t>
  </si>
  <si>
    <t>Large</t>
  </si>
  <si>
    <t>Mid-size</t>
  </si>
  <si>
    <t>51-500</t>
  </si>
  <si>
    <t>501-5000</t>
  </si>
  <si>
    <t>Small</t>
  </si>
  <si>
    <t>1-50</t>
  </si>
  <si>
    <t>N/A</t>
  </si>
  <si>
    <t>research_instituation</t>
  </si>
  <si>
    <t>Twitter/X</t>
  </si>
  <si>
    <t>Stripe</t>
  </si>
  <si>
    <t>160; 501; 146; 512</t>
  </si>
  <si>
    <t>140</t>
  </si>
  <si>
    <t>Outcome Goals</t>
  </si>
  <si>
    <t>Developer Experience</t>
  </si>
  <si>
    <t>Organizational Effectiveness</t>
  </si>
  <si>
    <t>Product Excellence</t>
  </si>
  <si>
    <t>Communication Network 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</si>
</sst>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rgb="FF000000"/>
      <name val="Aptos Narrow"/>
      <family val="2"/>
    </font>
    <font>
      <sz val="11"/>
      <color rgb="FF000000"/>
      <name val="Calibri"/>
      <family val="2"/>
      <scheme val="minor"/>
    </font>
    <font>
      <strike/>
      <sz val="11"/>
      <color theme="1"/>
      <name val="Calibri"/>
      <family val="2"/>
      <scheme val="minor"/>
    </font>
    <font>
      <sz val="8"/>
      <name val="Calibri"/>
      <family val="2"/>
      <scheme val="minor"/>
    </font>
  </fonts>
  <fills count="5">
    <fill>
      <patternFill patternType="none"/>
    </fill>
    <fill>
      <patternFill patternType="gray125"/>
    </fill>
    <fill>
      <patternFill patternType="solid">
        <fgColor theme="9" tint="0.39997558519241921"/>
        <bgColor indexed="64"/>
      </patternFill>
    </fill>
    <fill>
      <patternFill patternType="solid">
        <fgColor theme="7"/>
        <bgColor indexed="64"/>
      </patternFill>
    </fill>
    <fill>
      <patternFill patternType="solid">
        <fgColor theme="2"/>
        <bgColor indexed="64"/>
      </patternFill>
    </fill>
  </fills>
  <borders count="1">
    <border>
      <left/>
      <right/>
      <top/>
      <bottom/>
      <diagonal/>
    </border>
  </borders>
  <cellStyleXfs count="1">
    <xf numFmtId="0" fontId="0" fillId="0" borderId="0"/>
  </cellStyleXfs>
  <cellXfs count="25">
    <xf numFmtId="0" fontId="0" fillId="0" borderId="0" xfId="0"/>
    <xf numFmtId="0" fontId="1" fillId="0" borderId="0" xfId="0" applyFont="1" applyAlignment="1">
      <alignment vertical="top"/>
    </xf>
    <xf numFmtId="0" fontId="1" fillId="0" borderId="0" xfId="0" applyFont="1" applyAlignment="1">
      <alignment vertical="top" wrapText="1"/>
    </xf>
    <xf numFmtId="0" fontId="1" fillId="2" borderId="0" xfId="0" applyFont="1" applyFill="1" applyAlignment="1">
      <alignment vertical="top"/>
    </xf>
    <xf numFmtId="0" fontId="1" fillId="2" borderId="0" xfId="0" applyFont="1" applyFill="1" applyAlignment="1">
      <alignment vertical="top" wrapText="1"/>
    </xf>
    <xf numFmtId="0" fontId="1" fillId="3" borderId="0" xfId="0" applyFont="1" applyFill="1" applyAlignment="1">
      <alignment vertical="top"/>
    </xf>
    <xf numFmtId="0" fontId="1" fillId="4" borderId="0" xfId="0" applyFont="1" applyFill="1" applyAlignment="1">
      <alignment vertical="top"/>
    </xf>
    <xf numFmtId="0" fontId="0" fillId="0" borderId="0" xfId="0" applyAlignment="1">
      <alignment vertical="top"/>
    </xf>
    <xf numFmtId="0" fontId="0" fillId="0" borderId="0" xfId="0" applyAlignment="1">
      <alignment vertical="top" wrapText="1"/>
    </xf>
    <xf numFmtId="0" fontId="0" fillId="4" borderId="0" xfId="0" applyFill="1" applyAlignment="1">
      <alignment vertical="top"/>
    </xf>
    <xf numFmtId="0" fontId="2" fillId="0" borderId="0" xfId="0" applyFont="1" applyAlignment="1">
      <alignment vertical="top" wrapText="1"/>
    </xf>
    <xf numFmtId="0" fontId="0" fillId="0" borderId="0" xfId="0" quotePrefix="1" applyAlignment="1">
      <alignment vertical="top" wrapText="1"/>
    </xf>
    <xf numFmtId="0" fontId="3" fillId="0" borderId="0" xfId="0" applyFont="1" applyAlignment="1">
      <alignment vertical="top"/>
    </xf>
    <xf numFmtId="0" fontId="3" fillId="0" borderId="0" xfId="0" applyFont="1" applyAlignment="1">
      <alignment vertical="top" wrapText="1"/>
    </xf>
    <xf numFmtId="0" fontId="2" fillId="0" borderId="0" xfId="0" applyFont="1" applyAlignment="1">
      <alignment vertical="top"/>
    </xf>
    <xf numFmtId="0" fontId="0" fillId="0" borderId="0" xfId="0" applyAlignment="1">
      <alignment wrapText="1"/>
    </xf>
    <xf numFmtId="0" fontId="4" fillId="0" borderId="0" xfId="0" applyFont="1"/>
    <xf numFmtId="49" fontId="0" fillId="0" borderId="0" xfId="0" applyNumberFormat="1"/>
    <xf numFmtId="49" fontId="1" fillId="0" borderId="0" xfId="0" applyNumberFormat="1" applyFont="1" applyAlignment="1">
      <alignment vertical="top" wrapText="1"/>
    </xf>
    <xf numFmtId="49" fontId="0" fillId="0" borderId="0" xfId="0" applyNumberFormat="1" applyAlignment="1">
      <alignment vertical="top"/>
    </xf>
    <xf numFmtId="49" fontId="0" fillId="0" borderId="0" xfId="0" applyNumberFormat="1" applyAlignment="1">
      <alignment vertical="top" wrapText="1"/>
    </xf>
    <xf numFmtId="49" fontId="0" fillId="0" borderId="0" xfId="0" applyNumberFormat="1" applyAlignment="1">
      <alignment wrapText="1"/>
    </xf>
    <xf numFmtId="49" fontId="1" fillId="0" borderId="0" xfId="0" applyNumberFormat="1" applyFont="1" applyAlignment="1">
      <alignment vertical="top"/>
    </xf>
    <xf numFmtId="49" fontId="1" fillId="0" borderId="0" xfId="0" applyNumberFormat="1" applyFont="1"/>
    <xf numFmtId="49" fontId="0" fillId="0" borderId="0" xfId="0" applyNumberFormat="1" applyAlignment="1">
      <alignment vertical="top"/>
    </xf>
  </cellXfs>
  <cellStyles count="1">
    <cellStyle name="Normal" xfId="0" builtinId="0"/>
  </cellStyles>
  <dxfs count="39">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Patrick Meyer" id="{2315245B-EC09-46AB-A06E-DE769C358132}" userId="S::patrick.meyer@oec.uzh.ch::70537bee-da28-4c70-a2c9-3c1febc8674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5" dT="2025-05-23T08:51:40.12" personId="{2315245B-EC09-46AB-A06E-DE769C358132}" id="{5DABF24C-F7F6-4498-BB7E-BFB15DB8540E}">
    <text>Nach Andres Input zusammengefasst zu einem Eintrag.</text>
  </threadedComment>
  <threadedComment ref="C29" dT="2025-05-23T09:38:31.42" personId="{2315245B-EC09-46AB-A06E-DE769C358132}" id="{E017DF4E-5656-4CEF-B774-80BA936A6D56}">
    <text xml:space="preserve">„NextJS Page Compilation Duration“ ergänzt nach Andres Input.
</text>
  </threadedComment>
  <threadedComment ref="C29" dT="2025-05-23T09:41:48.20" personId="{2315245B-EC09-46AB-A06E-DE769C358132}" id="{B9D6B62F-97AD-4141-950D-E7ECA7254F2F}" parentId="{E017DF4E-5656-4CEF-B774-80BA936A6D56}">
    <text>„Application/Package Build Duration“ von Lattice nach Andres Input ergänzt.</text>
  </threadedComment>
  <threadedComment ref="D29" dT="2025-05-23T09:41:06.69" personId="{2315245B-EC09-46AB-A06E-DE769C358132}" id="{8A92D669-9E50-4C59-82E5-97B139270D19}">
    <text>Lattice von NextJS Page Compilation Duration</text>
  </threadedComment>
  <threadedComment ref="H34" dT="2025-06-02T18:38:57.61" personId="{2315245B-EC09-46AB-A06E-DE769C358132}" id="{121DA4BD-014E-470E-AB44-B9514592A80F}">
    <text>Nach Andres Input von Business zu Process verschoben.</text>
  </threadedComment>
  <threadedComment ref="C52" dT="2025-05-23T09:31:57.03" personId="{2315245B-EC09-46AB-A06E-DE769C358132}" id="{41A1A9E9-8671-443A-BC53-E9E6789FC6B2}">
    <text>„Time to Restore Services“ ergänzt nach Andres Input.</text>
  </threadedComment>
  <threadedComment ref="H58" dT="2025-06-03T11:52:12.80" personId="{2315245B-EC09-46AB-A06E-DE769C358132}" id="{7C21EAC9-D7DB-489B-AFEF-DEF502EE6ECC}">
    <text>Nach Andres Input von DevEx zu Business/HR gewechselt.</text>
  </threadedComment>
  <threadedComment ref="H61" dT="2025-06-02T18:36:03.58" personId="{2315245B-EC09-46AB-A06E-DE769C358132}" id="{917C3D96-4AA9-4D8E-8F4B-AEDAD8831587}">
    <text>Nach Andres Input von Business zu Quality verschoben.</text>
  </threadedComment>
  <threadedComment ref="J69" dT="2025-06-03T11:54:41.83" personId="{2315245B-EC09-46AB-A06E-DE769C358132}" id="{FDDDF671-A2B6-4958-A032-5551C66219BE}">
    <text>Von Knowledge Expansion zu Upskilling gewechselt.</text>
  </threadedComment>
  <threadedComment ref="C76" dT="2025-06-02T18:24:12.03" personId="{2315245B-EC09-46AB-A06E-DE769C358132}" id="{9ABBA003-3752-4178-8927-349ABCC5DB99}">
    <text>Nach Andres Kommentar zu einer Metrik zusammengefasst.</text>
  </threadedComment>
  <threadedComment ref="C80" dT="2025-06-03T12:09:36.50" personId="{2315245B-EC09-46AB-A06E-DE769C358132}" id="{45640671-D7E4-4EA6-9099-D4E52C010FD7}">
    <text>Nach Andres Input Availability hinzugefügt.</text>
  </threadedComment>
  <threadedComment ref="C90" dT="2025-06-03T12:08:14.41" personId="{2315245B-EC09-46AB-A06E-DE769C358132}" id="{C9FB5614-C3E5-4863-BFB7-AAB3A42EAACD}">
    <text>Nach Andres Input. Production Incidents und System Uptime / Availability hinzugefügt.</text>
  </threadedComment>
  <threadedComment ref="F90" dT="2025-06-03T12:03:43.98" personId="{2315245B-EC09-46AB-A06E-DE769C358132}" id="{FCC3DA67-C366-4123-AE95-236C8FC56568}">
    <text>Nach Andres Input angepasst.</text>
  </threadedComment>
  <threadedComment ref="H91" dT="2025-06-03T12:00:31.64" personId="{2315245B-EC09-46AB-A06E-DE769C358132}" id="{24A13EBD-8030-4299-B820-E3DBAA902DCC}">
    <text>Nach Andres Anregung von Business zu DevEx/Upskilling gewechselt.</text>
  </threadedComment>
  <threadedComment ref="C92" dT="2025-05-23T08:56:36.61" personId="{2315245B-EC09-46AB-A06E-DE769C358132}" id="{65177E12-2939-4BCC-8B47-DB95E81C94F5}">
    <text>Zusammengefasst nach Andres Input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41"/>
  <sheetViews>
    <sheetView tabSelected="1" zoomScaleNormal="100" workbookViewId="0">
      <pane xSplit="2" ySplit="1" topLeftCell="E104" activePane="bottomRight" state="frozen"/>
      <selection pane="topRight" activeCell="C1" sqref="C1"/>
      <selection pane="bottomLeft" activeCell="A2" sqref="A2"/>
      <selection pane="bottomRight" activeCell="R1" sqref="R1:R1048576"/>
    </sheetView>
  </sheetViews>
  <sheetFormatPr defaultColWidth="9.140625" defaultRowHeight="15" x14ac:dyDescent="0.25"/>
  <cols>
    <col min="1" max="1" width="9.140625" style="7"/>
    <col min="2" max="2" width="36.5703125" style="7" bestFit="1" customWidth="1"/>
    <col min="3" max="3" width="36.5703125" style="8" customWidth="1"/>
    <col min="4" max="4" width="36.5703125" style="19" customWidth="1"/>
    <col min="5" max="5" width="40.28515625" style="20" customWidth="1"/>
    <col min="6" max="6" width="36.5703125" style="7" customWidth="1"/>
    <col min="7" max="7" width="31.7109375" style="7" customWidth="1"/>
    <col min="8" max="9" width="17.85546875" style="7" customWidth="1"/>
    <col min="10" max="12" width="28.42578125" style="7" customWidth="1"/>
    <col min="13" max="13" width="28.42578125" style="9" customWidth="1"/>
    <col min="14" max="15" width="9.140625" style="7"/>
    <col min="16" max="16" width="18.7109375" style="19" bestFit="1" customWidth="1"/>
    <col min="17" max="17" width="30.7109375" style="19" customWidth="1"/>
    <col min="18" max="18" width="15.140625" style="19" bestFit="1" customWidth="1"/>
    <col min="19" max="16384" width="9.140625" style="7"/>
  </cols>
  <sheetData>
    <row r="1" spans="1:18" s="1" customFormat="1" x14ac:dyDescent="0.25">
      <c r="A1" s="1" t="s">
        <v>0</v>
      </c>
      <c r="B1" s="1" t="s">
        <v>1</v>
      </c>
      <c r="C1" s="2" t="s">
        <v>2</v>
      </c>
      <c r="D1" s="18" t="s">
        <v>270</v>
      </c>
      <c r="E1" s="18" t="s">
        <v>271</v>
      </c>
      <c r="F1" s="2" t="s">
        <v>3</v>
      </c>
      <c r="G1" s="1" t="s">
        <v>4</v>
      </c>
      <c r="H1" s="3" t="s">
        <v>5</v>
      </c>
      <c r="I1" s="4" t="s">
        <v>6</v>
      </c>
      <c r="J1" s="3" t="s">
        <v>7</v>
      </c>
      <c r="K1" s="3" t="s">
        <v>8</v>
      </c>
      <c r="L1" s="5" t="s">
        <v>9</v>
      </c>
      <c r="M1" s="6" t="s">
        <v>525</v>
      </c>
      <c r="N1" s="1" t="s">
        <v>526</v>
      </c>
      <c r="O1" s="1" t="s">
        <v>530</v>
      </c>
      <c r="P1" s="22" t="s">
        <v>628</v>
      </c>
      <c r="Q1" s="22" t="s">
        <v>730</v>
      </c>
      <c r="R1" s="22" t="s">
        <v>619</v>
      </c>
    </row>
    <row r="2" spans="1:18" ht="120" x14ac:dyDescent="0.25">
      <c r="A2" s="7">
        <v>2</v>
      </c>
      <c r="B2" s="7" t="s">
        <v>13</v>
      </c>
      <c r="C2" s="8" t="s">
        <v>14</v>
      </c>
      <c r="D2" s="19" t="s">
        <v>627</v>
      </c>
      <c r="E2" s="20" t="s">
        <v>728</v>
      </c>
      <c r="F2" s="8" t="s">
        <v>15</v>
      </c>
      <c r="G2" s="7" t="s">
        <v>527</v>
      </c>
      <c r="H2" s="7" t="s">
        <v>16</v>
      </c>
      <c r="I2" s="7">
        <f>VLOOKUP(H2,cardsort_group_IDs!A:B,2,0)</f>
        <v>204</v>
      </c>
      <c r="J2" s="7" t="s">
        <v>17</v>
      </c>
      <c r="K2" s="7">
        <f>VLOOKUP(J2,cardsort_subgroup_IDs!A:B,2,0)</f>
        <v>327</v>
      </c>
      <c r="L2" s="7">
        <f>IF(E2="-",0,1)+IF(D2="-",0,2)</f>
        <v>3</v>
      </c>
      <c r="M2" s="7">
        <f t="shared" ref="M2:M33" si="0">IF(D2="-",0,LEN(D2)-LEN(SUBSTITUTE(D2,";",""))+1)</f>
        <v>19</v>
      </c>
      <c r="N2" s="7">
        <f t="shared" ref="N2:N33" si="1">IF(E2="-",0,LEN(E2)-LEN(SUBSTITUTE(E2,";",""))+1)</f>
        <v>4</v>
      </c>
      <c r="O2" s="7">
        <f>SUM(M2:N2)</f>
        <v>23</v>
      </c>
      <c r="P2" s="19" t="s">
        <v>626</v>
      </c>
      <c r="Q2" s="19" t="s">
        <v>731</v>
      </c>
      <c r="R2" s="19" t="s">
        <v>729</v>
      </c>
    </row>
    <row r="3" spans="1:18" ht="30" x14ac:dyDescent="0.25">
      <c r="A3" s="7">
        <v>4</v>
      </c>
      <c r="B3" s="7" t="s">
        <v>19</v>
      </c>
      <c r="C3" s="8" t="s">
        <v>10</v>
      </c>
      <c r="D3" s="20">
        <v>201</v>
      </c>
      <c r="E3" s="20" t="s">
        <v>10</v>
      </c>
      <c r="F3" s="8" t="s">
        <v>21</v>
      </c>
      <c r="G3" s="7" t="s">
        <v>527</v>
      </c>
      <c r="H3" s="7" t="s">
        <v>22</v>
      </c>
      <c r="I3" s="7">
        <f>VLOOKUP(H3,cardsort_group_IDs!A:B,2,0)</f>
        <v>202</v>
      </c>
      <c r="J3" s="7" t="s">
        <v>23</v>
      </c>
      <c r="K3" s="7">
        <f>VLOOKUP(J3,cardsort_subgroup_IDs!A:B,2,0)</f>
        <v>303</v>
      </c>
      <c r="L3" s="7">
        <f>IF(E3="-",0,1)+IF(D3="-",0,2)</f>
        <v>2</v>
      </c>
      <c r="M3" s="7">
        <f t="shared" si="0"/>
        <v>1</v>
      </c>
      <c r="N3" s="7">
        <f t="shared" si="1"/>
        <v>0</v>
      </c>
      <c r="O3" s="7">
        <f t="shared" ref="O3:O63" si="2">SUM(M3:N3)</f>
        <v>1</v>
      </c>
      <c r="P3" s="19" t="s">
        <v>626</v>
      </c>
      <c r="Q3" s="24" t="s">
        <v>731</v>
      </c>
      <c r="R3" s="19" t="s">
        <v>10</v>
      </c>
    </row>
    <row r="4" spans="1:18" ht="75" x14ac:dyDescent="0.25">
      <c r="A4" s="7">
        <v>7</v>
      </c>
      <c r="B4" s="7" t="s">
        <v>24</v>
      </c>
      <c r="C4" s="8" t="s">
        <v>273</v>
      </c>
      <c r="D4" s="19" t="s">
        <v>533</v>
      </c>
      <c r="E4" s="20" t="s">
        <v>531</v>
      </c>
      <c r="F4" s="10" t="s">
        <v>25</v>
      </c>
      <c r="G4" s="7" t="s">
        <v>527</v>
      </c>
      <c r="H4" s="7" t="s">
        <v>529</v>
      </c>
      <c r="I4" s="7">
        <f>VLOOKUP(H4,cardsort_group_IDs!A:B,2,0)</f>
        <v>203</v>
      </c>
      <c r="J4" s="7" t="s">
        <v>26</v>
      </c>
      <c r="K4" s="7">
        <f>VLOOKUP(J4,cardsort_subgroup_IDs!A:B,2,0)</f>
        <v>305</v>
      </c>
      <c r="L4" s="7">
        <f t="shared" ref="L4:L63" si="3">IF(E4="-",0,1)+IF(D4="-",0,2)</f>
        <v>3</v>
      </c>
      <c r="M4" s="7">
        <f t="shared" si="0"/>
        <v>3</v>
      </c>
      <c r="N4" s="7">
        <f t="shared" si="1"/>
        <v>5</v>
      </c>
      <c r="O4" s="7">
        <f t="shared" si="2"/>
        <v>8</v>
      </c>
      <c r="P4" s="19" t="s">
        <v>626</v>
      </c>
      <c r="Q4" s="24" t="s">
        <v>731</v>
      </c>
      <c r="R4" s="19" t="s">
        <v>10</v>
      </c>
    </row>
    <row r="5" spans="1:18" ht="30" x14ac:dyDescent="0.25">
      <c r="A5" s="7">
        <v>9</v>
      </c>
      <c r="B5" s="7" t="s">
        <v>27</v>
      </c>
      <c r="C5" s="8" t="s">
        <v>10</v>
      </c>
      <c r="D5" s="19" t="s">
        <v>483</v>
      </c>
      <c r="E5" s="20" t="s">
        <v>556</v>
      </c>
      <c r="F5" s="10" t="s">
        <v>28</v>
      </c>
      <c r="G5" s="7" t="s">
        <v>527</v>
      </c>
      <c r="H5" s="7" t="s">
        <v>16</v>
      </c>
      <c r="I5" s="7">
        <f>VLOOKUP(H5,cardsort_group_IDs!A:B,2,0)</f>
        <v>204</v>
      </c>
      <c r="J5" s="7" t="s">
        <v>29</v>
      </c>
      <c r="K5" s="7">
        <f>VLOOKUP(J5,cardsort_subgroup_IDs!A:B,2,0)</f>
        <v>306</v>
      </c>
      <c r="L5" s="7">
        <f t="shared" si="3"/>
        <v>3</v>
      </c>
      <c r="M5" s="7">
        <f t="shared" si="0"/>
        <v>1</v>
      </c>
      <c r="N5" s="7">
        <f t="shared" si="1"/>
        <v>2</v>
      </c>
      <c r="O5" s="7">
        <f t="shared" si="2"/>
        <v>3</v>
      </c>
      <c r="P5" s="19" t="s">
        <v>626</v>
      </c>
      <c r="Q5" s="19" t="s">
        <v>732</v>
      </c>
      <c r="R5" s="19" t="s">
        <v>10</v>
      </c>
    </row>
    <row r="6" spans="1:18" ht="75" x14ac:dyDescent="0.25">
      <c r="A6" s="7">
        <v>10</v>
      </c>
      <c r="B6" s="7" t="s">
        <v>30</v>
      </c>
      <c r="C6" s="8" t="s">
        <v>274</v>
      </c>
      <c r="D6" s="19" t="s">
        <v>444</v>
      </c>
      <c r="E6" s="20" t="s">
        <v>557</v>
      </c>
      <c r="F6" s="8" t="s">
        <v>31</v>
      </c>
      <c r="G6" s="7" t="s">
        <v>528</v>
      </c>
      <c r="H6" s="7" t="s">
        <v>529</v>
      </c>
      <c r="I6" s="7">
        <f>VLOOKUP(H6,cardsort_group_IDs!A:B,2,0)</f>
        <v>203</v>
      </c>
      <c r="J6" s="7" t="s">
        <v>32</v>
      </c>
      <c r="K6" s="7">
        <f>VLOOKUP(J6,cardsort_subgroup_IDs!A:B,2,0)</f>
        <v>307</v>
      </c>
      <c r="L6" s="7">
        <f t="shared" si="3"/>
        <v>3</v>
      </c>
      <c r="M6" s="7">
        <f t="shared" si="0"/>
        <v>1</v>
      </c>
      <c r="N6" s="7">
        <f t="shared" si="1"/>
        <v>3</v>
      </c>
      <c r="O6" s="7">
        <f t="shared" si="2"/>
        <v>4</v>
      </c>
      <c r="P6" s="19" t="s">
        <v>626</v>
      </c>
      <c r="Q6" s="24" t="s">
        <v>731</v>
      </c>
      <c r="R6" s="19" t="s">
        <v>10</v>
      </c>
    </row>
    <row r="7" spans="1:18" ht="105" x14ac:dyDescent="0.25">
      <c r="A7" s="7">
        <v>11</v>
      </c>
      <c r="B7" s="7" t="s">
        <v>33</v>
      </c>
      <c r="C7" s="8" t="s">
        <v>10</v>
      </c>
      <c r="D7" s="19" t="s">
        <v>10</v>
      </c>
      <c r="E7" s="20">
        <v>183</v>
      </c>
      <c r="F7" s="8" t="s">
        <v>34</v>
      </c>
      <c r="G7" s="7" t="s">
        <v>527</v>
      </c>
      <c r="H7" s="7" t="s">
        <v>11</v>
      </c>
      <c r="I7" s="7">
        <f>VLOOKUP(H7,cardsort_group_IDs!A:B,2,0)</f>
        <v>201</v>
      </c>
      <c r="J7" s="7" t="s">
        <v>18</v>
      </c>
      <c r="K7" s="7">
        <f>VLOOKUP(J7,cardsort_subgroup_IDs!A:B,2,0)</f>
        <v>302</v>
      </c>
      <c r="L7" s="7">
        <f t="shared" si="3"/>
        <v>1</v>
      </c>
      <c r="M7" s="7">
        <f t="shared" si="0"/>
        <v>0</v>
      </c>
      <c r="N7" s="7">
        <f t="shared" si="1"/>
        <v>1</v>
      </c>
      <c r="O7" s="7">
        <f t="shared" si="2"/>
        <v>1</v>
      </c>
      <c r="P7" s="19" t="s">
        <v>626</v>
      </c>
      <c r="Q7" s="19" t="s">
        <v>732</v>
      </c>
      <c r="R7" s="19" t="s">
        <v>10</v>
      </c>
    </row>
    <row r="8" spans="1:18" ht="75" x14ac:dyDescent="0.25">
      <c r="A8" s="7">
        <v>12</v>
      </c>
      <c r="B8" s="7" t="s">
        <v>35</v>
      </c>
      <c r="C8" s="8" t="s">
        <v>10</v>
      </c>
      <c r="D8" s="20" t="s">
        <v>654</v>
      </c>
      <c r="E8" s="20" t="s">
        <v>693</v>
      </c>
      <c r="F8" s="8" t="s">
        <v>36</v>
      </c>
      <c r="G8" s="7" t="s">
        <v>527</v>
      </c>
      <c r="H8" s="7" t="s">
        <v>37</v>
      </c>
      <c r="I8" s="7">
        <f>VLOOKUP(H8,cardsort_group_IDs!A:B,2,0)</f>
        <v>205</v>
      </c>
      <c r="J8" s="7" t="s">
        <v>38</v>
      </c>
      <c r="K8" s="7">
        <f>VLOOKUP(J8,cardsort_subgroup_IDs!A:B,2,0)</f>
        <v>308</v>
      </c>
      <c r="L8" s="7">
        <f t="shared" si="3"/>
        <v>3</v>
      </c>
      <c r="M8" s="7">
        <f t="shared" si="0"/>
        <v>14</v>
      </c>
      <c r="N8" s="7">
        <f t="shared" si="1"/>
        <v>12</v>
      </c>
      <c r="O8" s="7">
        <f t="shared" si="2"/>
        <v>26</v>
      </c>
      <c r="P8" s="19" t="s">
        <v>135</v>
      </c>
      <c r="Q8" s="24" t="s">
        <v>733</v>
      </c>
      <c r="R8" s="19" t="s">
        <v>10</v>
      </c>
    </row>
    <row r="9" spans="1:18" ht="165" x14ac:dyDescent="0.25">
      <c r="A9" s="7">
        <v>13</v>
      </c>
      <c r="B9" s="7" t="s">
        <v>39</v>
      </c>
      <c r="C9" s="8" t="s">
        <v>10</v>
      </c>
      <c r="D9" s="19">
        <v>170</v>
      </c>
      <c r="E9" s="20" t="s">
        <v>10</v>
      </c>
      <c r="F9" s="8" t="s">
        <v>41</v>
      </c>
      <c r="G9" s="7" t="s">
        <v>527</v>
      </c>
      <c r="H9" s="7" t="s">
        <v>37</v>
      </c>
      <c r="I9" s="7">
        <f>VLOOKUP(H9,cardsort_group_IDs!A:B,2,0)</f>
        <v>205</v>
      </c>
      <c r="J9" s="7" t="s">
        <v>42</v>
      </c>
      <c r="K9" s="7">
        <f>VLOOKUP(J9,cardsort_subgroup_IDs!A:B,2,0)</f>
        <v>309</v>
      </c>
      <c r="L9" s="7">
        <f t="shared" si="3"/>
        <v>2</v>
      </c>
      <c r="M9" s="7">
        <f t="shared" si="0"/>
        <v>1</v>
      </c>
      <c r="N9" s="7">
        <f t="shared" si="1"/>
        <v>0</v>
      </c>
      <c r="O9" s="7">
        <f t="shared" si="2"/>
        <v>1</v>
      </c>
      <c r="P9" s="19" t="s">
        <v>626</v>
      </c>
      <c r="Q9" s="24" t="s">
        <v>733</v>
      </c>
      <c r="R9" s="19" t="s">
        <v>10</v>
      </c>
    </row>
    <row r="10" spans="1:18" ht="75" x14ac:dyDescent="0.25">
      <c r="A10" s="7">
        <v>14</v>
      </c>
      <c r="B10" s="7" t="s">
        <v>43</v>
      </c>
      <c r="C10" s="8" t="s">
        <v>10</v>
      </c>
      <c r="D10" s="19" t="s">
        <v>436</v>
      </c>
      <c r="E10" s="20">
        <v>501</v>
      </c>
      <c r="F10" s="8" t="s">
        <v>44</v>
      </c>
      <c r="G10" s="7" t="s">
        <v>527</v>
      </c>
      <c r="H10" s="7" t="s">
        <v>37</v>
      </c>
      <c r="I10" s="7">
        <f>VLOOKUP(H10,cardsort_group_IDs!A:B,2,0)</f>
        <v>205</v>
      </c>
      <c r="J10" s="7" t="s">
        <v>38</v>
      </c>
      <c r="K10" s="7">
        <f>VLOOKUP(J10,cardsort_subgroup_IDs!A:B,2,0)</f>
        <v>308</v>
      </c>
      <c r="L10" s="7">
        <f t="shared" si="3"/>
        <v>3</v>
      </c>
      <c r="M10" s="7">
        <f t="shared" si="0"/>
        <v>1</v>
      </c>
      <c r="N10" s="7">
        <f t="shared" si="1"/>
        <v>1</v>
      </c>
      <c r="O10" s="7">
        <f t="shared" si="2"/>
        <v>2</v>
      </c>
      <c r="P10" s="19" t="s">
        <v>626</v>
      </c>
      <c r="Q10" s="24" t="s">
        <v>733</v>
      </c>
      <c r="R10" s="19" t="s">
        <v>10</v>
      </c>
    </row>
    <row r="11" spans="1:18" ht="150" x14ac:dyDescent="0.25">
      <c r="A11" s="7">
        <v>15</v>
      </c>
      <c r="B11" s="7" t="s">
        <v>45</v>
      </c>
      <c r="C11" s="8" t="s">
        <v>10</v>
      </c>
      <c r="D11" s="19" t="s">
        <v>437</v>
      </c>
      <c r="E11" s="20">
        <v>501</v>
      </c>
      <c r="F11" s="8" t="s">
        <v>46</v>
      </c>
      <c r="G11" s="7" t="s">
        <v>527</v>
      </c>
      <c r="H11" s="7" t="s">
        <v>16</v>
      </c>
      <c r="I11" s="7">
        <f>VLOOKUP(H11,cardsort_group_IDs!A:B,2,0)</f>
        <v>204</v>
      </c>
      <c r="J11" s="7" t="s">
        <v>29</v>
      </c>
      <c r="K11" s="7">
        <f>VLOOKUP(J11,cardsort_subgroup_IDs!A:B,2,0)</f>
        <v>306</v>
      </c>
      <c r="L11" s="7">
        <f t="shared" si="3"/>
        <v>3</v>
      </c>
      <c r="M11" s="7">
        <f t="shared" si="0"/>
        <v>2</v>
      </c>
      <c r="N11" s="7">
        <f t="shared" si="1"/>
        <v>1</v>
      </c>
      <c r="O11" s="7">
        <f t="shared" si="2"/>
        <v>3</v>
      </c>
      <c r="P11" s="19" t="s">
        <v>626</v>
      </c>
      <c r="Q11" s="24" t="s">
        <v>731</v>
      </c>
      <c r="R11" s="19" t="s">
        <v>10</v>
      </c>
    </row>
    <row r="12" spans="1:18" ht="30" x14ac:dyDescent="0.25">
      <c r="A12" s="7">
        <v>16</v>
      </c>
      <c r="B12" s="7" t="s">
        <v>47</v>
      </c>
      <c r="C12" s="8" t="s">
        <v>10</v>
      </c>
      <c r="D12" s="19" t="s">
        <v>451</v>
      </c>
      <c r="E12" s="20" t="s">
        <v>452</v>
      </c>
      <c r="F12" s="8" t="s">
        <v>48</v>
      </c>
      <c r="G12" s="7" t="s">
        <v>527</v>
      </c>
      <c r="H12" s="7" t="s">
        <v>37</v>
      </c>
      <c r="I12" s="7">
        <f>VLOOKUP(H12,cardsort_group_IDs!A:B,2,0)</f>
        <v>205</v>
      </c>
      <c r="J12" s="7" t="s">
        <v>49</v>
      </c>
      <c r="K12" s="7">
        <f>VLOOKUP(J12,cardsort_subgroup_IDs!A:B,2,0)</f>
        <v>310</v>
      </c>
      <c r="L12" s="7">
        <f t="shared" si="3"/>
        <v>3</v>
      </c>
      <c r="M12" s="7">
        <f t="shared" si="0"/>
        <v>3</v>
      </c>
      <c r="N12" s="7">
        <f t="shared" si="1"/>
        <v>3</v>
      </c>
      <c r="O12" s="7">
        <f t="shared" si="2"/>
        <v>6</v>
      </c>
      <c r="P12" s="19" t="s">
        <v>626</v>
      </c>
      <c r="Q12" s="24" t="s">
        <v>733</v>
      </c>
      <c r="R12" s="19" t="s">
        <v>10</v>
      </c>
    </row>
    <row r="13" spans="1:18" ht="60" x14ac:dyDescent="0.25">
      <c r="A13" s="7">
        <v>17</v>
      </c>
      <c r="B13" s="7" t="s">
        <v>50</v>
      </c>
      <c r="C13" s="8" t="s">
        <v>51</v>
      </c>
      <c r="D13" s="20" t="s">
        <v>544</v>
      </c>
      <c r="E13" s="20" t="s">
        <v>545</v>
      </c>
      <c r="F13" s="8" t="s">
        <v>52</v>
      </c>
      <c r="G13" s="7" t="s">
        <v>527</v>
      </c>
      <c r="H13" s="7" t="s">
        <v>53</v>
      </c>
      <c r="I13" s="7">
        <f>VLOOKUP(H13,cardsort_group_IDs!A:B,2,0)</f>
        <v>206</v>
      </c>
      <c r="J13" s="7" t="s">
        <v>16</v>
      </c>
      <c r="K13" s="7">
        <f>VLOOKUP(J13,cardsort_subgroup_IDs!A:B,2,0)</f>
        <v>311</v>
      </c>
      <c r="L13" s="7">
        <f t="shared" si="3"/>
        <v>3</v>
      </c>
      <c r="M13" s="7">
        <f t="shared" si="0"/>
        <v>3</v>
      </c>
      <c r="N13" s="7">
        <f t="shared" si="1"/>
        <v>5</v>
      </c>
      <c r="O13" s="7">
        <f t="shared" si="2"/>
        <v>8</v>
      </c>
      <c r="P13" s="19" t="s">
        <v>626</v>
      </c>
      <c r="Q13" s="24" t="s">
        <v>732</v>
      </c>
      <c r="R13" s="19" t="s">
        <v>10</v>
      </c>
    </row>
    <row r="14" spans="1:18" ht="30" x14ac:dyDescent="0.25">
      <c r="A14" s="7">
        <v>18</v>
      </c>
      <c r="B14" s="7" t="s">
        <v>54</v>
      </c>
      <c r="C14" s="8" t="s">
        <v>678</v>
      </c>
      <c r="D14" s="19" t="s">
        <v>679</v>
      </c>
      <c r="E14" s="20">
        <v>131</v>
      </c>
      <c r="F14" s="8" t="s">
        <v>55</v>
      </c>
      <c r="G14" s="7" t="s">
        <v>527</v>
      </c>
      <c r="H14" s="7" t="s">
        <v>37</v>
      </c>
      <c r="I14" s="7">
        <f>VLOOKUP(H14,cardsort_group_IDs!A:B,2,0)</f>
        <v>205</v>
      </c>
      <c r="J14" s="7" t="s">
        <v>49</v>
      </c>
      <c r="K14" s="7">
        <f>VLOOKUP(J14,cardsort_subgroup_IDs!A:B,2,0)</f>
        <v>310</v>
      </c>
      <c r="L14" s="7">
        <f t="shared" si="3"/>
        <v>3</v>
      </c>
      <c r="M14" s="7">
        <f t="shared" si="0"/>
        <v>3</v>
      </c>
      <c r="N14" s="7">
        <f t="shared" si="1"/>
        <v>1</v>
      </c>
      <c r="O14" s="7">
        <f t="shared" si="2"/>
        <v>4</v>
      </c>
      <c r="P14" s="19" t="s">
        <v>135</v>
      </c>
      <c r="Q14" s="24" t="s">
        <v>733</v>
      </c>
      <c r="R14" s="19" t="s">
        <v>10</v>
      </c>
    </row>
    <row r="15" spans="1:18" ht="90" x14ac:dyDescent="0.25">
      <c r="A15" s="7">
        <v>19</v>
      </c>
      <c r="B15" s="7" t="s">
        <v>56</v>
      </c>
      <c r="C15" s="8" t="s">
        <v>275</v>
      </c>
      <c r="D15" s="19" t="s">
        <v>625</v>
      </c>
      <c r="E15" s="20" t="s">
        <v>552</v>
      </c>
      <c r="F15" s="8" t="s">
        <v>57</v>
      </c>
      <c r="G15" s="7" t="s">
        <v>527</v>
      </c>
      <c r="H15" s="7" t="s">
        <v>58</v>
      </c>
      <c r="I15" s="7">
        <f>VLOOKUP(H15,cardsort_group_IDs!A:B,2,0)</f>
        <v>207</v>
      </c>
      <c r="J15" s="7" t="s">
        <v>59</v>
      </c>
      <c r="K15" s="7">
        <f>VLOOKUP(J15,cardsort_subgroup_IDs!A:B,2,0)</f>
        <v>312</v>
      </c>
      <c r="L15" s="7">
        <f t="shared" si="3"/>
        <v>3</v>
      </c>
      <c r="M15" s="7">
        <f t="shared" si="0"/>
        <v>5</v>
      </c>
      <c r="N15" s="7">
        <f t="shared" si="1"/>
        <v>21</v>
      </c>
      <c r="O15" s="7">
        <f t="shared" si="2"/>
        <v>26</v>
      </c>
      <c r="P15" s="19" t="s">
        <v>626</v>
      </c>
      <c r="Q15" s="24" t="s">
        <v>732</v>
      </c>
      <c r="R15" s="19" t="s">
        <v>10</v>
      </c>
    </row>
    <row r="16" spans="1:18" ht="75" x14ac:dyDescent="0.25">
      <c r="A16" s="7">
        <v>20</v>
      </c>
      <c r="B16" s="7" t="s">
        <v>60</v>
      </c>
      <c r="C16" s="8" t="s">
        <v>276</v>
      </c>
      <c r="D16" s="19" t="s">
        <v>10</v>
      </c>
      <c r="E16" s="20" t="s">
        <v>700</v>
      </c>
      <c r="F16" s="8" t="s">
        <v>61</v>
      </c>
      <c r="G16" s="7" t="s">
        <v>528</v>
      </c>
      <c r="H16" s="7" t="s">
        <v>529</v>
      </c>
      <c r="I16" s="7">
        <f>VLOOKUP(H16,cardsort_group_IDs!A:B,2,0)</f>
        <v>203</v>
      </c>
      <c r="J16" s="8" t="s">
        <v>62</v>
      </c>
      <c r="K16" s="7">
        <f>VLOOKUP(J16,cardsort_subgroup_IDs!A:B,2,0)</f>
        <v>313</v>
      </c>
      <c r="L16" s="7">
        <f t="shared" si="3"/>
        <v>1</v>
      </c>
      <c r="M16" s="7">
        <f t="shared" si="0"/>
        <v>0</v>
      </c>
      <c r="N16" s="7">
        <f t="shared" si="1"/>
        <v>5</v>
      </c>
      <c r="O16" s="7">
        <f t="shared" si="2"/>
        <v>5</v>
      </c>
      <c r="P16" s="19" t="s">
        <v>135</v>
      </c>
      <c r="Q16" s="24" t="s">
        <v>731</v>
      </c>
      <c r="R16" s="19" t="s">
        <v>10</v>
      </c>
    </row>
    <row r="17" spans="1:18" ht="60" x14ac:dyDescent="0.25">
      <c r="A17" s="7">
        <v>22</v>
      </c>
      <c r="B17" s="8" t="s">
        <v>64</v>
      </c>
      <c r="C17" s="8" t="s">
        <v>10</v>
      </c>
      <c r="D17" s="19" t="s">
        <v>444</v>
      </c>
      <c r="E17" s="20" t="s">
        <v>446</v>
      </c>
      <c r="F17" s="8" t="s">
        <v>65</v>
      </c>
      <c r="G17" s="7" t="s">
        <v>527</v>
      </c>
      <c r="H17" s="7" t="s">
        <v>16</v>
      </c>
      <c r="I17" s="7">
        <f>VLOOKUP(H17,cardsort_group_IDs!A:B,2,0)</f>
        <v>204</v>
      </c>
      <c r="J17" s="7" t="s">
        <v>17</v>
      </c>
      <c r="K17" s="7">
        <f>VLOOKUP(J17,cardsort_subgroup_IDs!A:B,2,0)</f>
        <v>327</v>
      </c>
      <c r="L17" s="7">
        <f t="shared" si="3"/>
        <v>3</v>
      </c>
      <c r="M17" s="7">
        <f t="shared" si="0"/>
        <v>1</v>
      </c>
      <c r="N17" s="7">
        <f t="shared" si="1"/>
        <v>2</v>
      </c>
      <c r="O17" s="7">
        <f t="shared" si="2"/>
        <v>3</v>
      </c>
      <c r="P17" s="19" t="s">
        <v>626</v>
      </c>
      <c r="Q17" s="24" t="s">
        <v>732</v>
      </c>
      <c r="R17" s="19" t="s">
        <v>10</v>
      </c>
    </row>
    <row r="18" spans="1:18" ht="90" x14ac:dyDescent="0.25">
      <c r="A18" s="7">
        <v>23</v>
      </c>
      <c r="B18" s="14" t="s">
        <v>66</v>
      </c>
      <c r="C18" s="10" t="s">
        <v>277</v>
      </c>
      <c r="D18" s="19" t="s">
        <v>10</v>
      </c>
      <c r="E18" s="20" t="s">
        <v>432</v>
      </c>
      <c r="F18" s="10" t="s">
        <v>68</v>
      </c>
      <c r="G18" s="7" t="s">
        <v>527</v>
      </c>
      <c r="H18" s="7" t="s">
        <v>53</v>
      </c>
      <c r="I18" s="7">
        <f>VLOOKUP(H18,cardsort_group_IDs!A:B,2,0)</f>
        <v>206</v>
      </c>
      <c r="J18" s="7" t="s">
        <v>69</v>
      </c>
      <c r="K18" s="7">
        <f>VLOOKUP(J18,cardsort_subgroup_IDs!A:B,2,0)</f>
        <v>316</v>
      </c>
      <c r="L18" s="7">
        <f t="shared" si="3"/>
        <v>1</v>
      </c>
      <c r="M18" s="7">
        <f t="shared" si="0"/>
        <v>0</v>
      </c>
      <c r="N18" s="7">
        <f t="shared" si="1"/>
        <v>2</v>
      </c>
      <c r="O18" s="7">
        <f t="shared" si="2"/>
        <v>2</v>
      </c>
      <c r="P18" s="19" t="s">
        <v>626</v>
      </c>
      <c r="Q18" s="24" t="s">
        <v>732</v>
      </c>
      <c r="R18" s="19" t="s">
        <v>10</v>
      </c>
    </row>
    <row r="19" spans="1:18" ht="150" x14ac:dyDescent="0.25">
      <c r="A19" s="7">
        <v>24</v>
      </c>
      <c r="B19" s="7" t="s">
        <v>70</v>
      </c>
      <c r="C19" s="8" t="s">
        <v>10</v>
      </c>
      <c r="D19" s="19" t="s">
        <v>10</v>
      </c>
      <c r="E19" s="20">
        <v>508</v>
      </c>
      <c r="F19" s="8" t="s">
        <v>72</v>
      </c>
      <c r="G19" s="7" t="s">
        <v>527</v>
      </c>
      <c r="H19" s="7" t="s">
        <v>11</v>
      </c>
      <c r="I19" s="7">
        <f>VLOOKUP(H19,cardsort_group_IDs!A:B,2,0)</f>
        <v>201</v>
      </c>
      <c r="J19" s="7" t="s">
        <v>18</v>
      </c>
      <c r="K19" s="7">
        <f>VLOOKUP(J19,cardsort_subgroup_IDs!A:B,2,0)</f>
        <v>302</v>
      </c>
      <c r="L19" s="7">
        <f t="shared" si="3"/>
        <v>1</v>
      </c>
      <c r="M19" s="7">
        <f t="shared" si="0"/>
        <v>0</v>
      </c>
      <c r="N19" s="7">
        <f t="shared" si="1"/>
        <v>1</v>
      </c>
      <c r="O19" s="7">
        <f t="shared" si="2"/>
        <v>1</v>
      </c>
      <c r="P19" s="19" t="s">
        <v>626</v>
      </c>
      <c r="Q19" s="24" t="s">
        <v>732</v>
      </c>
      <c r="R19" s="19" t="s">
        <v>10</v>
      </c>
    </row>
    <row r="20" spans="1:18" ht="90" x14ac:dyDescent="0.25">
      <c r="A20" s="7">
        <v>25</v>
      </c>
      <c r="B20" s="7" t="s">
        <v>73</v>
      </c>
      <c r="C20" s="8" t="s">
        <v>74</v>
      </c>
      <c r="D20" s="19" t="s">
        <v>10</v>
      </c>
      <c r="E20" s="20" t="s">
        <v>558</v>
      </c>
      <c r="F20" s="8" t="s">
        <v>75</v>
      </c>
      <c r="G20" s="7" t="s">
        <v>528</v>
      </c>
      <c r="H20" s="7" t="s">
        <v>76</v>
      </c>
      <c r="I20" s="7">
        <f>VLOOKUP(H20,cardsort_group_IDs!A:B,2,0)</f>
        <v>208</v>
      </c>
      <c r="J20" s="7" t="s">
        <v>37</v>
      </c>
      <c r="K20" s="7">
        <f>VLOOKUP(J20,cardsort_subgroup_IDs!A:B,2,0)</f>
        <v>317</v>
      </c>
      <c r="L20" s="7">
        <f t="shared" si="3"/>
        <v>1</v>
      </c>
      <c r="M20" s="7">
        <f t="shared" si="0"/>
        <v>0</v>
      </c>
      <c r="N20" s="7">
        <f t="shared" si="1"/>
        <v>3</v>
      </c>
      <c r="O20" s="7">
        <f t="shared" si="2"/>
        <v>3</v>
      </c>
      <c r="P20" s="19" t="s">
        <v>626</v>
      </c>
      <c r="Q20" s="24" t="s">
        <v>733</v>
      </c>
      <c r="R20" s="19" t="s">
        <v>10</v>
      </c>
    </row>
    <row r="21" spans="1:18" ht="30" x14ac:dyDescent="0.25">
      <c r="A21" s="7">
        <v>26</v>
      </c>
      <c r="B21" s="7" t="s">
        <v>77</v>
      </c>
      <c r="C21" s="8" t="s">
        <v>10</v>
      </c>
      <c r="D21" s="19" t="s">
        <v>453</v>
      </c>
      <c r="E21" s="20">
        <v>131</v>
      </c>
      <c r="F21" s="8" t="s">
        <v>78</v>
      </c>
      <c r="G21" s="7" t="s">
        <v>527</v>
      </c>
      <c r="H21" s="7" t="s">
        <v>76</v>
      </c>
      <c r="I21" s="7">
        <f>VLOOKUP(H21,cardsort_group_IDs!A:B,2,0)</f>
        <v>208</v>
      </c>
      <c r="J21" s="7" t="s">
        <v>37</v>
      </c>
      <c r="K21" s="7">
        <f>VLOOKUP(J21,cardsort_subgroup_IDs!A:B,2,0)</f>
        <v>317</v>
      </c>
      <c r="L21" s="7">
        <f t="shared" si="3"/>
        <v>3</v>
      </c>
      <c r="M21" s="7">
        <f t="shared" si="0"/>
        <v>2</v>
      </c>
      <c r="N21" s="7">
        <f t="shared" si="1"/>
        <v>1</v>
      </c>
      <c r="O21" s="7">
        <f t="shared" si="2"/>
        <v>3</v>
      </c>
      <c r="P21" s="19" t="s">
        <v>626</v>
      </c>
      <c r="Q21" s="24" t="s">
        <v>733</v>
      </c>
      <c r="R21" s="19" t="s">
        <v>10</v>
      </c>
    </row>
    <row r="22" spans="1:18" ht="60" x14ac:dyDescent="0.25">
      <c r="A22" s="7">
        <v>27</v>
      </c>
      <c r="B22" s="7" t="s">
        <v>29</v>
      </c>
      <c r="C22" s="8" t="s">
        <v>656</v>
      </c>
      <c r="D22" s="20" t="s">
        <v>657</v>
      </c>
      <c r="E22" s="20" t="s">
        <v>454</v>
      </c>
      <c r="F22" s="8" t="s">
        <v>79</v>
      </c>
      <c r="G22" s="7" t="s">
        <v>527</v>
      </c>
      <c r="H22" s="7" t="s">
        <v>16</v>
      </c>
      <c r="I22" s="7">
        <f>VLOOKUP(H22,cardsort_group_IDs!A:B,2,0)</f>
        <v>204</v>
      </c>
      <c r="J22" s="7" t="s">
        <v>29</v>
      </c>
      <c r="K22" s="7">
        <f>VLOOKUP(J22,cardsort_subgroup_IDs!A:B,2,0)</f>
        <v>306</v>
      </c>
      <c r="L22" s="7">
        <f t="shared" si="3"/>
        <v>3</v>
      </c>
      <c r="M22" s="7">
        <f t="shared" si="0"/>
        <v>11</v>
      </c>
      <c r="N22" s="7">
        <f t="shared" si="1"/>
        <v>5</v>
      </c>
      <c r="O22" s="7">
        <f t="shared" si="2"/>
        <v>16</v>
      </c>
      <c r="P22" s="19" t="s">
        <v>135</v>
      </c>
      <c r="Q22" s="24" t="s">
        <v>732</v>
      </c>
      <c r="R22" s="19" t="s">
        <v>10</v>
      </c>
    </row>
    <row r="23" spans="1:18" ht="75" x14ac:dyDescent="0.25">
      <c r="A23" s="7">
        <v>28</v>
      </c>
      <c r="B23" s="7" t="s">
        <v>80</v>
      </c>
      <c r="C23" s="8" t="s">
        <v>10</v>
      </c>
      <c r="D23" s="19" t="s">
        <v>433</v>
      </c>
      <c r="E23" s="20">
        <v>501</v>
      </c>
      <c r="F23" s="8" t="s">
        <v>82</v>
      </c>
      <c r="G23" s="7" t="s">
        <v>527</v>
      </c>
      <c r="H23" s="7" t="s">
        <v>529</v>
      </c>
      <c r="I23" s="7">
        <f>VLOOKUP(H23,cardsort_group_IDs!A:B,2,0)</f>
        <v>203</v>
      </c>
      <c r="J23" s="7" t="s">
        <v>26</v>
      </c>
      <c r="K23" s="7">
        <f>VLOOKUP(J23,cardsort_subgroup_IDs!A:B,2,0)</f>
        <v>305</v>
      </c>
      <c r="L23" s="7">
        <f t="shared" si="3"/>
        <v>3</v>
      </c>
      <c r="M23" s="7">
        <f t="shared" si="0"/>
        <v>1</v>
      </c>
      <c r="N23" s="7">
        <f t="shared" si="1"/>
        <v>1</v>
      </c>
      <c r="O23" s="7">
        <f t="shared" si="2"/>
        <v>2</v>
      </c>
      <c r="P23" s="19" t="s">
        <v>626</v>
      </c>
      <c r="Q23" s="24" t="s">
        <v>731</v>
      </c>
      <c r="R23" s="19" t="s">
        <v>10</v>
      </c>
    </row>
    <row r="24" spans="1:18" ht="45" x14ac:dyDescent="0.25">
      <c r="A24" s="7">
        <v>29</v>
      </c>
      <c r="B24" s="7" t="s">
        <v>83</v>
      </c>
      <c r="C24" s="8" t="s">
        <v>278</v>
      </c>
      <c r="D24" s="19" t="s">
        <v>10</v>
      </c>
      <c r="E24" s="20">
        <v>236</v>
      </c>
      <c r="F24" s="8" t="s">
        <v>84</v>
      </c>
      <c r="G24" s="7" t="s">
        <v>527</v>
      </c>
      <c r="H24" s="7" t="s">
        <v>37</v>
      </c>
      <c r="I24" s="7">
        <f>VLOOKUP(H24,cardsort_group_IDs!A:B,2,0)</f>
        <v>205</v>
      </c>
      <c r="J24" s="7" t="s">
        <v>38</v>
      </c>
      <c r="K24" s="7">
        <f>VLOOKUP(J24,cardsort_subgroup_IDs!A:B,2,0)</f>
        <v>308</v>
      </c>
      <c r="L24" s="7">
        <f t="shared" si="3"/>
        <v>1</v>
      </c>
      <c r="M24" s="7">
        <f t="shared" si="0"/>
        <v>0</v>
      </c>
      <c r="N24" s="7">
        <f t="shared" si="1"/>
        <v>1</v>
      </c>
      <c r="O24" s="7">
        <f t="shared" si="2"/>
        <v>1</v>
      </c>
      <c r="P24" s="19" t="s">
        <v>626</v>
      </c>
      <c r="Q24" s="24" t="s">
        <v>733</v>
      </c>
      <c r="R24" s="19" t="s">
        <v>10</v>
      </c>
    </row>
    <row r="25" spans="1:18" ht="45" x14ac:dyDescent="0.25">
      <c r="A25" s="7">
        <v>30</v>
      </c>
      <c r="B25" s="7" t="s">
        <v>85</v>
      </c>
      <c r="C25" s="8" t="s">
        <v>10</v>
      </c>
      <c r="D25" s="20" t="s">
        <v>662</v>
      </c>
      <c r="E25" s="20" t="s">
        <v>560</v>
      </c>
      <c r="F25" s="8" t="s">
        <v>86</v>
      </c>
      <c r="G25" s="7" t="s">
        <v>527</v>
      </c>
      <c r="H25" s="7" t="s">
        <v>76</v>
      </c>
      <c r="I25" s="7">
        <f>VLOOKUP(H25,cardsort_group_IDs!A:B,2,0)</f>
        <v>208</v>
      </c>
      <c r="J25" s="7" t="s">
        <v>85</v>
      </c>
      <c r="K25" s="7">
        <f>VLOOKUP(J25,cardsort_subgroup_IDs!A:B,2,0)</f>
        <v>318</v>
      </c>
      <c r="L25" s="7">
        <f t="shared" si="3"/>
        <v>3</v>
      </c>
      <c r="M25" s="7">
        <f t="shared" si="0"/>
        <v>9</v>
      </c>
      <c r="N25" s="7">
        <f t="shared" si="1"/>
        <v>12</v>
      </c>
      <c r="O25" s="7">
        <f t="shared" si="2"/>
        <v>21</v>
      </c>
      <c r="P25" s="19" t="s">
        <v>135</v>
      </c>
      <c r="Q25" s="24" t="s">
        <v>732</v>
      </c>
      <c r="R25" s="19" t="s">
        <v>10</v>
      </c>
    </row>
    <row r="26" spans="1:18" ht="30" x14ac:dyDescent="0.25">
      <c r="A26" s="7">
        <v>31</v>
      </c>
      <c r="B26" s="7" t="s">
        <v>87</v>
      </c>
      <c r="C26" s="8" t="s">
        <v>279</v>
      </c>
      <c r="D26" s="19">
        <v>170</v>
      </c>
      <c r="E26" s="20" t="s">
        <v>559</v>
      </c>
      <c r="F26" s="8" t="s">
        <v>88</v>
      </c>
      <c r="G26" s="7" t="s">
        <v>527</v>
      </c>
      <c r="H26" s="7" t="s">
        <v>37</v>
      </c>
      <c r="I26" s="7">
        <f>VLOOKUP(H26,cardsort_group_IDs!A:B,2,0)</f>
        <v>205</v>
      </c>
      <c r="J26" s="7" t="s">
        <v>89</v>
      </c>
      <c r="K26" s="7">
        <f>VLOOKUP(J26,cardsort_subgroup_IDs!A:B,2,0)</f>
        <v>319</v>
      </c>
      <c r="L26" s="7">
        <f t="shared" si="3"/>
        <v>3</v>
      </c>
      <c r="M26" s="7">
        <f t="shared" si="0"/>
        <v>1</v>
      </c>
      <c r="N26" s="7">
        <f t="shared" si="1"/>
        <v>3</v>
      </c>
      <c r="O26" s="7">
        <f t="shared" si="2"/>
        <v>4</v>
      </c>
      <c r="P26" s="19" t="s">
        <v>626</v>
      </c>
      <c r="Q26" s="24" t="s">
        <v>732</v>
      </c>
      <c r="R26" s="19" t="s">
        <v>10</v>
      </c>
    </row>
    <row r="27" spans="1:18" ht="120" x14ac:dyDescent="0.25">
      <c r="A27" s="7">
        <v>32</v>
      </c>
      <c r="B27" s="7" t="s">
        <v>90</v>
      </c>
      <c r="C27" s="8" t="s">
        <v>10</v>
      </c>
      <c r="D27" s="19" t="s">
        <v>434</v>
      </c>
      <c r="E27" s="20">
        <v>501</v>
      </c>
      <c r="F27" s="8" t="s">
        <v>92</v>
      </c>
      <c r="G27" s="7" t="s">
        <v>527</v>
      </c>
      <c r="H27" s="7" t="s">
        <v>76</v>
      </c>
      <c r="I27" s="7">
        <f>VLOOKUP(H27,cardsort_group_IDs!A:B,2,0)</f>
        <v>208</v>
      </c>
      <c r="J27" s="7" t="s">
        <v>85</v>
      </c>
      <c r="K27" s="7">
        <f>VLOOKUP(J27,cardsort_subgroup_IDs!A:B,2,0)</f>
        <v>318</v>
      </c>
      <c r="L27" s="7">
        <f t="shared" si="3"/>
        <v>3</v>
      </c>
      <c r="M27" s="7">
        <f t="shared" si="0"/>
        <v>1</v>
      </c>
      <c r="N27" s="7">
        <f t="shared" si="1"/>
        <v>1</v>
      </c>
      <c r="O27" s="7">
        <f t="shared" si="2"/>
        <v>2</v>
      </c>
      <c r="P27" s="19" t="s">
        <v>626</v>
      </c>
      <c r="Q27" s="24" t="s">
        <v>732</v>
      </c>
      <c r="R27" s="19" t="s">
        <v>10</v>
      </c>
    </row>
    <row r="28" spans="1:18" ht="45" x14ac:dyDescent="0.25">
      <c r="A28" s="7">
        <v>33</v>
      </c>
      <c r="B28" s="7" t="s">
        <v>93</v>
      </c>
      <c r="C28" s="8" t="s">
        <v>10</v>
      </c>
      <c r="D28" s="19" t="s">
        <v>444</v>
      </c>
      <c r="E28" s="20" t="s">
        <v>446</v>
      </c>
      <c r="F28" s="8" t="s">
        <v>94</v>
      </c>
      <c r="G28" s="7" t="s">
        <v>528</v>
      </c>
      <c r="H28" s="7" t="s">
        <v>16</v>
      </c>
      <c r="I28" s="7">
        <f>VLOOKUP(H28,cardsort_group_IDs!A:B,2,0)</f>
        <v>204</v>
      </c>
      <c r="J28" s="7" t="s">
        <v>95</v>
      </c>
      <c r="K28" s="7">
        <f>VLOOKUP(J28,cardsort_subgroup_IDs!A:B,2,0)</f>
        <v>320</v>
      </c>
      <c r="L28" s="7">
        <f t="shared" si="3"/>
        <v>3</v>
      </c>
      <c r="M28" s="7">
        <f t="shared" si="0"/>
        <v>1</v>
      </c>
      <c r="N28" s="7">
        <f t="shared" si="1"/>
        <v>2</v>
      </c>
      <c r="O28" s="7">
        <f t="shared" si="2"/>
        <v>3</v>
      </c>
      <c r="P28" s="19" t="s">
        <v>626</v>
      </c>
      <c r="Q28" s="24" t="s">
        <v>733</v>
      </c>
      <c r="R28" s="19" t="s">
        <v>10</v>
      </c>
    </row>
    <row r="29" spans="1:18" ht="75" x14ac:dyDescent="0.25">
      <c r="A29" s="7">
        <v>34</v>
      </c>
      <c r="B29" s="7" t="s">
        <v>96</v>
      </c>
      <c r="C29" s="8" t="s">
        <v>280</v>
      </c>
      <c r="D29" s="20" t="s">
        <v>546</v>
      </c>
      <c r="E29" s="20" t="s">
        <v>547</v>
      </c>
      <c r="F29" s="8" t="s">
        <v>97</v>
      </c>
      <c r="G29" s="7" t="s">
        <v>527</v>
      </c>
      <c r="H29" s="7" t="s">
        <v>22</v>
      </c>
      <c r="I29" s="7">
        <f>VLOOKUP(H29,cardsort_group_IDs!A:B,2,0)</f>
        <v>202</v>
      </c>
      <c r="J29" s="7" t="s">
        <v>23</v>
      </c>
      <c r="K29" s="7">
        <f>VLOOKUP(J29,cardsort_subgroup_IDs!A:B,2,0)</f>
        <v>303</v>
      </c>
      <c r="L29" s="7">
        <f t="shared" si="3"/>
        <v>3</v>
      </c>
      <c r="M29" s="7">
        <f t="shared" si="0"/>
        <v>4</v>
      </c>
      <c r="N29" s="7">
        <f t="shared" si="1"/>
        <v>4</v>
      </c>
      <c r="O29" s="7">
        <f t="shared" si="2"/>
        <v>8</v>
      </c>
      <c r="P29" s="19" t="s">
        <v>626</v>
      </c>
      <c r="Q29" s="24" t="s">
        <v>731</v>
      </c>
      <c r="R29" s="19" t="s">
        <v>10</v>
      </c>
    </row>
    <row r="30" spans="1:18" ht="120" x14ac:dyDescent="0.25">
      <c r="A30" s="7">
        <v>35</v>
      </c>
      <c r="B30" s="7" t="s">
        <v>98</v>
      </c>
      <c r="C30" s="8" t="s">
        <v>10</v>
      </c>
      <c r="D30" s="19" t="s">
        <v>444</v>
      </c>
      <c r="E30" s="20" t="s">
        <v>446</v>
      </c>
      <c r="F30" s="8" t="s">
        <v>99</v>
      </c>
      <c r="G30" s="7" t="s">
        <v>528</v>
      </c>
      <c r="H30" s="7" t="s">
        <v>529</v>
      </c>
      <c r="I30" s="7">
        <f>VLOOKUP(H30,cardsort_group_IDs!A:B,2,0)</f>
        <v>203</v>
      </c>
      <c r="J30" s="7" t="s">
        <v>100</v>
      </c>
      <c r="K30" s="7">
        <f>VLOOKUP(J30,cardsort_subgroup_IDs!A:B,2,0)</f>
        <v>321</v>
      </c>
      <c r="L30" s="7">
        <f t="shared" si="3"/>
        <v>3</v>
      </c>
      <c r="M30" s="7">
        <f t="shared" si="0"/>
        <v>1</v>
      </c>
      <c r="N30" s="7">
        <f t="shared" si="1"/>
        <v>2</v>
      </c>
      <c r="O30" s="7">
        <f t="shared" si="2"/>
        <v>3</v>
      </c>
      <c r="P30" s="19" t="s">
        <v>626</v>
      </c>
      <c r="Q30" s="24" t="s">
        <v>731</v>
      </c>
      <c r="R30" s="19" t="s">
        <v>10</v>
      </c>
    </row>
    <row r="31" spans="1:18" ht="180" x14ac:dyDescent="0.25">
      <c r="A31" s="7">
        <v>36</v>
      </c>
      <c r="B31" s="7" t="s">
        <v>101</v>
      </c>
      <c r="C31" s="8" t="s">
        <v>667</v>
      </c>
      <c r="D31" s="20" t="s">
        <v>712</v>
      </c>
      <c r="E31" s="20" t="s">
        <v>688</v>
      </c>
      <c r="F31" s="8" t="s">
        <v>102</v>
      </c>
      <c r="G31" s="7" t="s">
        <v>528</v>
      </c>
      <c r="H31" s="7" t="s">
        <v>529</v>
      </c>
      <c r="I31" s="7">
        <f>VLOOKUP(H31,cardsort_group_IDs!A:B,2,0)</f>
        <v>203</v>
      </c>
      <c r="J31" s="7" t="s">
        <v>103</v>
      </c>
      <c r="K31" s="7">
        <f>VLOOKUP(J31,cardsort_subgroup_IDs!A:B,2,0)</f>
        <v>322</v>
      </c>
      <c r="L31" s="7">
        <f t="shared" si="3"/>
        <v>3</v>
      </c>
      <c r="M31" s="7">
        <f t="shared" si="0"/>
        <v>28</v>
      </c>
      <c r="N31" s="7">
        <f t="shared" si="1"/>
        <v>15</v>
      </c>
      <c r="O31" s="7">
        <f t="shared" si="2"/>
        <v>43</v>
      </c>
      <c r="P31" s="19" t="s">
        <v>135</v>
      </c>
      <c r="Q31" s="24" t="s">
        <v>731</v>
      </c>
      <c r="R31" s="19" t="s">
        <v>10</v>
      </c>
    </row>
    <row r="32" spans="1:18" ht="255" x14ac:dyDescent="0.25">
      <c r="A32" s="7">
        <v>37</v>
      </c>
      <c r="B32" s="7" t="s">
        <v>104</v>
      </c>
      <c r="C32" s="8" t="s">
        <v>10</v>
      </c>
      <c r="D32" s="19" t="s">
        <v>10</v>
      </c>
      <c r="E32" s="20">
        <v>506</v>
      </c>
      <c r="F32" s="8" t="s">
        <v>105</v>
      </c>
      <c r="G32" s="7" t="s">
        <v>528</v>
      </c>
      <c r="H32" s="7" t="s">
        <v>11</v>
      </c>
      <c r="I32" s="7">
        <f>VLOOKUP(H32,cardsort_group_IDs!A:B,2,0)</f>
        <v>201</v>
      </c>
      <c r="J32" s="7" t="s">
        <v>18</v>
      </c>
      <c r="K32" s="7">
        <f>VLOOKUP(J32,cardsort_subgroup_IDs!A:B,2,0)</f>
        <v>302</v>
      </c>
      <c r="L32" s="7">
        <f t="shared" si="3"/>
        <v>1</v>
      </c>
      <c r="M32" s="7">
        <f t="shared" si="0"/>
        <v>0</v>
      </c>
      <c r="N32" s="7">
        <f t="shared" si="1"/>
        <v>1</v>
      </c>
      <c r="O32" s="7">
        <f t="shared" si="2"/>
        <v>1</v>
      </c>
      <c r="P32" s="19" t="s">
        <v>626</v>
      </c>
      <c r="Q32" s="24" t="s">
        <v>732</v>
      </c>
      <c r="R32" s="19" t="s">
        <v>10</v>
      </c>
    </row>
    <row r="33" spans="1:18" ht="135" x14ac:dyDescent="0.25">
      <c r="A33" s="7">
        <v>38</v>
      </c>
      <c r="B33" s="7" t="s">
        <v>106</v>
      </c>
      <c r="C33" s="8" t="s">
        <v>281</v>
      </c>
      <c r="D33" s="19" t="s">
        <v>677</v>
      </c>
      <c r="E33" s="20" t="s">
        <v>466</v>
      </c>
      <c r="F33" s="11" t="s">
        <v>107</v>
      </c>
      <c r="G33" s="7" t="s">
        <v>527</v>
      </c>
      <c r="H33" s="7" t="s">
        <v>16</v>
      </c>
      <c r="I33" s="7">
        <f>VLOOKUP(H33,cardsort_group_IDs!A:B,2,0)</f>
        <v>204</v>
      </c>
      <c r="J33" s="7" t="s">
        <v>29</v>
      </c>
      <c r="K33" s="7">
        <f>VLOOKUP(J33,cardsort_subgroup_IDs!A:B,2,0)</f>
        <v>306</v>
      </c>
      <c r="L33" s="7">
        <f t="shared" si="3"/>
        <v>3</v>
      </c>
      <c r="M33" s="7">
        <f t="shared" si="0"/>
        <v>4</v>
      </c>
      <c r="N33" s="7">
        <f t="shared" si="1"/>
        <v>13</v>
      </c>
      <c r="O33" s="7">
        <f t="shared" si="2"/>
        <v>17</v>
      </c>
      <c r="P33" s="19" t="s">
        <v>135</v>
      </c>
      <c r="Q33" s="24" t="s">
        <v>731</v>
      </c>
      <c r="R33" s="19" t="s">
        <v>10</v>
      </c>
    </row>
    <row r="34" spans="1:18" ht="75" x14ac:dyDescent="0.25">
      <c r="A34" s="7">
        <v>39</v>
      </c>
      <c r="B34" s="8" t="s">
        <v>108</v>
      </c>
      <c r="C34" s="8" t="s">
        <v>10</v>
      </c>
      <c r="D34" s="19" t="s">
        <v>444</v>
      </c>
      <c r="E34" s="20" t="s">
        <v>446</v>
      </c>
      <c r="F34" s="8" t="s">
        <v>109</v>
      </c>
      <c r="G34" s="7" t="s">
        <v>528</v>
      </c>
      <c r="H34" s="7" t="s">
        <v>16</v>
      </c>
      <c r="I34" s="7">
        <f>VLOOKUP(H34,cardsort_group_IDs!A:B,2,0)</f>
        <v>204</v>
      </c>
      <c r="J34" s="7" t="s">
        <v>95</v>
      </c>
      <c r="K34" s="7">
        <f>VLOOKUP(J34,cardsort_subgroup_IDs!A:B,2,0)</f>
        <v>320</v>
      </c>
      <c r="L34" s="7">
        <f t="shared" si="3"/>
        <v>3</v>
      </c>
      <c r="M34" s="7">
        <f t="shared" ref="M34:M65" si="4">IF(D34="-",0,LEN(D34)-LEN(SUBSTITUTE(D34,";",""))+1)</f>
        <v>1</v>
      </c>
      <c r="N34" s="7">
        <f t="shared" ref="N34:N65" si="5">IF(E34="-",0,LEN(E34)-LEN(SUBSTITUTE(E34,";",""))+1)</f>
        <v>2</v>
      </c>
      <c r="O34" s="7">
        <f t="shared" si="2"/>
        <v>3</v>
      </c>
      <c r="P34" s="19" t="s">
        <v>626</v>
      </c>
      <c r="Q34" s="24" t="s">
        <v>731</v>
      </c>
      <c r="R34" s="19" t="s">
        <v>10</v>
      </c>
    </row>
    <row r="35" spans="1:18" ht="120" x14ac:dyDescent="0.25">
      <c r="A35" s="7">
        <v>40</v>
      </c>
      <c r="B35" s="8" t="s">
        <v>62</v>
      </c>
      <c r="C35" s="8" t="s">
        <v>110</v>
      </c>
      <c r="D35" s="20" t="s">
        <v>536</v>
      </c>
      <c r="E35" s="20" t="s">
        <v>537</v>
      </c>
      <c r="F35" s="8" t="s">
        <v>111</v>
      </c>
      <c r="G35" s="7" t="s">
        <v>528</v>
      </c>
      <c r="H35" s="7" t="s">
        <v>529</v>
      </c>
      <c r="I35" s="7">
        <f>VLOOKUP(H35,cardsort_group_IDs!A:B,2,0)</f>
        <v>203</v>
      </c>
      <c r="J35" s="8" t="s">
        <v>62</v>
      </c>
      <c r="K35" s="7">
        <f>VLOOKUP(J35,cardsort_subgroup_IDs!A:B,2,0)</f>
        <v>313</v>
      </c>
      <c r="L35" s="7">
        <f t="shared" si="3"/>
        <v>3</v>
      </c>
      <c r="M35" s="7">
        <f t="shared" si="4"/>
        <v>7</v>
      </c>
      <c r="N35" s="7">
        <f t="shared" si="5"/>
        <v>7</v>
      </c>
      <c r="O35" s="7">
        <f t="shared" si="2"/>
        <v>14</v>
      </c>
      <c r="P35" s="19" t="s">
        <v>135</v>
      </c>
      <c r="Q35" s="24" t="s">
        <v>731</v>
      </c>
      <c r="R35" s="19" t="s">
        <v>10</v>
      </c>
    </row>
    <row r="36" spans="1:18" ht="75" x14ac:dyDescent="0.25">
      <c r="A36" s="7">
        <v>41</v>
      </c>
      <c r="B36" s="14" t="s">
        <v>112</v>
      </c>
      <c r="C36" s="10" t="s">
        <v>309</v>
      </c>
      <c r="D36" s="19" t="s">
        <v>435</v>
      </c>
      <c r="E36" s="20" t="s">
        <v>447</v>
      </c>
      <c r="F36" s="10" t="s">
        <v>113</v>
      </c>
      <c r="G36" s="7" t="s">
        <v>528</v>
      </c>
      <c r="H36" s="7" t="s">
        <v>529</v>
      </c>
      <c r="I36" s="7">
        <f>VLOOKUP(H36,cardsort_group_IDs!A:B,2,0)</f>
        <v>203</v>
      </c>
      <c r="J36" s="7" t="s">
        <v>100</v>
      </c>
      <c r="K36" s="7">
        <f>VLOOKUP(J36,cardsort_subgroup_IDs!A:B,2,0)</f>
        <v>321</v>
      </c>
      <c r="L36" s="7">
        <f t="shared" si="3"/>
        <v>3</v>
      </c>
      <c r="M36" s="7">
        <f t="shared" si="4"/>
        <v>4</v>
      </c>
      <c r="N36" s="7">
        <f t="shared" si="5"/>
        <v>2</v>
      </c>
      <c r="O36" s="7">
        <f t="shared" si="2"/>
        <v>6</v>
      </c>
      <c r="P36" s="19" t="s">
        <v>626</v>
      </c>
      <c r="Q36" s="24" t="s">
        <v>731</v>
      </c>
      <c r="R36" s="19" t="s">
        <v>10</v>
      </c>
    </row>
    <row r="37" spans="1:18" ht="60" x14ac:dyDescent="0.25">
      <c r="A37" s="7">
        <v>42</v>
      </c>
      <c r="B37" s="7" t="s">
        <v>114</v>
      </c>
      <c r="C37" s="8" t="s">
        <v>282</v>
      </c>
      <c r="D37" s="19" t="s">
        <v>10</v>
      </c>
      <c r="E37" s="20" t="s">
        <v>579</v>
      </c>
      <c r="F37" s="8" t="s">
        <v>115</v>
      </c>
      <c r="G37" s="7" t="s">
        <v>527</v>
      </c>
      <c r="H37" s="7" t="s">
        <v>37</v>
      </c>
      <c r="I37" s="7">
        <f>VLOOKUP(H37,cardsort_group_IDs!A:B,2,0)</f>
        <v>205</v>
      </c>
      <c r="J37" s="7" t="s">
        <v>38</v>
      </c>
      <c r="K37" s="7">
        <f>VLOOKUP(J37,cardsort_subgroup_IDs!A:B,2,0)</f>
        <v>308</v>
      </c>
      <c r="L37" s="7">
        <f t="shared" si="3"/>
        <v>1</v>
      </c>
      <c r="M37" s="7">
        <f t="shared" si="4"/>
        <v>0</v>
      </c>
      <c r="N37" s="7">
        <f t="shared" si="5"/>
        <v>2</v>
      </c>
      <c r="O37" s="7">
        <f t="shared" si="2"/>
        <v>2</v>
      </c>
      <c r="P37" s="19" t="s">
        <v>626</v>
      </c>
      <c r="Q37" s="24" t="s">
        <v>733</v>
      </c>
      <c r="R37" s="19" t="s">
        <v>10</v>
      </c>
    </row>
    <row r="38" spans="1:18" ht="75" x14ac:dyDescent="0.25">
      <c r="A38" s="7">
        <v>43</v>
      </c>
      <c r="B38" s="10" t="s">
        <v>116</v>
      </c>
      <c r="C38" s="10" t="s">
        <v>10</v>
      </c>
      <c r="D38" s="19" t="s">
        <v>444</v>
      </c>
      <c r="E38" s="20" t="s">
        <v>446</v>
      </c>
      <c r="F38" s="10" t="s">
        <v>117</v>
      </c>
      <c r="G38" s="7" t="s">
        <v>528</v>
      </c>
      <c r="H38" s="7" t="s">
        <v>529</v>
      </c>
      <c r="I38" s="7">
        <f>VLOOKUP(H38,cardsort_group_IDs!A:B,2,0)</f>
        <v>203</v>
      </c>
      <c r="J38" s="7" t="s">
        <v>118</v>
      </c>
      <c r="K38" s="7">
        <f>VLOOKUP(J38,cardsort_subgroup_IDs!A:B,2,0)</f>
        <v>323</v>
      </c>
      <c r="L38" s="7">
        <f t="shared" si="3"/>
        <v>3</v>
      </c>
      <c r="M38" s="7">
        <f t="shared" si="4"/>
        <v>1</v>
      </c>
      <c r="N38" s="7">
        <f t="shared" si="5"/>
        <v>2</v>
      </c>
      <c r="O38" s="7">
        <f t="shared" si="2"/>
        <v>3</v>
      </c>
      <c r="P38" s="19" t="s">
        <v>626</v>
      </c>
      <c r="Q38" s="24" t="s">
        <v>731</v>
      </c>
      <c r="R38" s="19" t="s">
        <v>10</v>
      </c>
    </row>
    <row r="39" spans="1:18" ht="75" x14ac:dyDescent="0.25">
      <c r="A39" s="7">
        <v>44</v>
      </c>
      <c r="B39" s="7" t="s">
        <v>119</v>
      </c>
      <c r="C39" s="8" t="s">
        <v>605</v>
      </c>
      <c r="D39" s="20" t="s">
        <v>440</v>
      </c>
      <c r="E39" s="20" t="s">
        <v>548</v>
      </c>
      <c r="F39" s="8" t="s">
        <v>121</v>
      </c>
      <c r="G39" s="7" t="s">
        <v>527</v>
      </c>
      <c r="H39" s="7" t="s">
        <v>22</v>
      </c>
      <c r="I39" s="7">
        <f>VLOOKUP(H39,cardsort_group_IDs!A:B,2,0)</f>
        <v>202</v>
      </c>
      <c r="J39" s="7" t="s">
        <v>122</v>
      </c>
      <c r="K39" s="7">
        <f>VLOOKUP(J39,cardsort_subgroup_IDs!A:B,2,0)</f>
        <v>324</v>
      </c>
      <c r="L39" s="7">
        <f t="shared" si="3"/>
        <v>3</v>
      </c>
      <c r="M39" s="7">
        <f t="shared" si="4"/>
        <v>1</v>
      </c>
      <c r="N39" s="7">
        <f t="shared" si="5"/>
        <v>2</v>
      </c>
      <c r="O39" s="7">
        <f t="shared" si="2"/>
        <v>3</v>
      </c>
      <c r="P39" s="19" t="s">
        <v>135</v>
      </c>
      <c r="Q39" s="24" t="s">
        <v>732</v>
      </c>
      <c r="R39" s="19" t="s">
        <v>10</v>
      </c>
    </row>
    <row r="40" spans="1:18" ht="60" x14ac:dyDescent="0.25">
      <c r="A40" s="7">
        <v>45</v>
      </c>
      <c r="B40" s="7" t="s">
        <v>123</v>
      </c>
      <c r="C40" s="8" t="s">
        <v>10</v>
      </c>
      <c r="D40" s="19" t="s">
        <v>10</v>
      </c>
      <c r="E40" s="20" t="s">
        <v>467</v>
      </c>
      <c r="F40" s="8" t="s">
        <v>124</v>
      </c>
      <c r="G40" s="7" t="s">
        <v>527</v>
      </c>
      <c r="H40" s="7" t="s">
        <v>22</v>
      </c>
      <c r="I40" s="7">
        <f>VLOOKUP(H40,cardsort_group_IDs!A:B,2,0)</f>
        <v>202</v>
      </c>
      <c r="J40" s="7" t="s">
        <v>125</v>
      </c>
      <c r="K40" s="7">
        <f>VLOOKUP(J40,cardsort_subgroup_IDs!A:B,2,0)</f>
        <v>325</v>
      </c>
      <c r="L40" s="7">
        <f t="shared" si="3"/>
        <v>1</v>
      </c>
      <c r="M40" s="7">
        <f t="shared" si="4"/>
        <v>0</v>
      </c>
      <c r="N40" s="7">
        <f t="shared" si="5"/>
        <v>2</v>
      </c>
      <c r="O40" s="7">
        <f t="shared" si="2"/>
        <v>2</v>
      </c>
      <c r="P40" s="19" t="s">
        <v>626</v>
      </c>
      <c r="Q40" s="24" t="s">
        <v>732</v>
      </c>
      <c r="R40" s="19" t="s">
        <v>10</v>
      </c>
    </row>
    <row r="41" spans="1:18" ht="30" x14ac:dyDescent="0.25">
      <c r="A41" s="7">
        <v>46</v>
      </c>
      <c r="B41" s="7" t="s">
        <v>126</v>
      </c>
      <c r="C41" s="8" t="s">
        <v>10</v>
      </c>
      <c r="D41" s="19" t="s">
        <v>10</v>
      </c>
      <c r="E41" s="20" t="s">
        <v>469</v>
      </c>
      <c r="F41" s="8" t="s">
        <v>127</v>
      </c>
      <c r="G41" s="7" t="s">
        <v>527</v>
      </c>
      <c r="H41" s="7" t="s">
        <v>53</v>
      </c>
      <c r="I41" s="7">
        <f>VLOOKUP(H41,cardsort_group_IDs!A:B,2,0)</f>
        <v>206</v>
      </c>
      <c r="J41" s="7" t="s">
        <v>128</v>
      </c>
      <c r="K41" s="7">
        <f>VLOOKUP(J41,cardsort_subgroup_IDs!A:B,2,0)</f>
        <v>326</v>
      </c>
      <c r="L41" s="7">
        <f t="shared" si="3"/>
        <v>1</v>
      </c>
      <c r="M41" s="7">
        <f t="shared" si="4"/>
        <v>0</v>
      </c>
      <c r="N41" s="7">
        <f t="shared" si="5"/>
        <v>2</v>
      </c>
      <c r="O41" s="7">
        <f t="shared" si="2"/>
        <v>2</v>
      </c>
      <c r="P41" s="19" t="s">
        <v>135</v>
      </c>
      <c r="Q41" s="24" t="s">
        <v>731</v>
      </c>
      <c r="R41" s="19" t="s">
        <v>10</v>
      </c>
    </row>
    <row r="42" spans="1:18" ht="30" x14ac:dyDescent="0.25">
      <c r="A42" s="7">
        <v>50</v>
      </c>
      <c r="B42" s="7" t="s">
        <v>129</v>
      </c>
      <c r="C42" s="8" t="s">
        <v>10</v>
      </c>
      <c r="D42" s="19" t="s">
        <v>10</v>
      </c>
      <c r="E42" s="20" t="s">
        <v>469</v>
      </c>
      <c r="F42" s="8" t="s">
        <v>130</v>
      </c>
      <c r="G42" s="7" t="s">
        <v>528</v>
      </c>
      <c r="H42" s="7" t="s">
        <v>529</v>
      </c>
      <c r="I42" s="7">
        <f>VLOOKUP(H42,cardsort_group_IDs!A:B,2,0)</f>
        <v>203</v>
      </c>
      <c r="J42" s="7" t="s">
        <v>26</v>
      </c>
      <c r="K42" s="7">
        <f>VLOOKUP(J42,cardsort_subgroup_IDs!A:B,2,0)</f>
        <v>305</v>
      </c>
      <c r="L42" s="7">
        <f t="shared" si="3"/>
        <v>1</v>
      </c>
      <c r="M42" s="7">
        <f t="shared" si="4"/>
        <v>0</v>
      </c>
      <c r="N42" s="7">
        <f t="shared" si="5"/>
        <v>2</v>
      </c>
      <c r="O42" s="7">
        <f t="shared" si="2"/>
        <v>2</v>
      </c>
      <c r="P42" s="19" t="s">
        <v>626</v>
      </c>
      <c r="Q42" s="24" t="s">
        <v>731</v>
      </c>
      <c r="R42" s="19" t="s">
        <v>10</v>
      </c>
    </row>
    <row r="43" spans="1:18" x14ac:dyDescent="0.25">
      <c r="A43" s="7">
        <v>51</v>
      </c>
      <c r="B43" s="7" t="s">
        <v>131</v>
      </c>
      <c r="C43" s="8" t="s">
        <v>10</v>
      </c>
      <c r="D43" s="19" t="s">
        <v>10</v>
      </c>
      <c r="E43" s="20">
        <v>506</v>
      </c>
      <c r="F43" s="8" t="s">
        <v>132</v>
      </c>
      <c r="G43" s="7" t="s">
        <v>527</v>
      </c>
      <c r="H43" s="7" t="s">
        <v>16</v>
      </c>
      <c r="I43" s="7">
        <f>VLOOKUP(H43,cardsort_group_IDs!A:B,2,0)</f>
        <v>204</v>
      </c>
      <c r="J43" s="7" t="s">
        <v>29</v>
      </c>
      <c r="K43" s="7">
        <f>VLOOKUP(J43,cardsort_subgroup_IDs!A:B,2,0)</f>
        <v>306</v>
      </c>
      <c r="L43" s="7">
        <f t="shared" si="3"/>
        <v>1</v>
      </c>
      <c r="M43" s="7">
        <f t="shared" si="4"/>
        <v>0</v>
      </c>
      <c r="N43" s="7">
        <f t="shared" si="5"/>
        <v>1</v>
      </c>
      <c r="O43" s="7">
        <f t="shared" si="2"/>
        <v>1</v>
      </c>
      <c r="P43" s="19" t="s">
        <v>626</v>
      </c>
      <c r="Q43" s="24" t="s">
        <v>732</v>
      </c>
      <c r="R43" s="19" t="s">
        <v>10</v>
      </c>
    </row>
    <row r="44" spans="1:18" ht="30" x14ac:dyDescent="0.25">
      <c r="A44" s="7">
        <v>54</v>
      </c>
      <c r="B44" s="7" t="s">
        <v>133</v>
      </c>
      <c r="C44" s="8" t="s">
        <v>10</v>
      </c>
      <c r="D44" s="19" t="s">
        <v>10</v>
      </c>
      <c r="E44" s="20">
        <v>506</v>
      </c>
      <c r="F44" s="8" t="s">
        <v>134</v>
      </c>
      <c r="G44" s="7" t="s">
        <v>527</v>
      </c>
      <c r="H44" s="7" t="s">
        <v>16</v>
      </c>
      <c r="I44" s="7">
        <f>VLOOKUP(H44,cardsort_group_IDs!A:B,2,0)</f>
        <v>204</v>
      </c>
      <c r="J44" s="7" t="s">
        <v>17</v>
      </c>
      <c r="K44" s="7">
        <f>VLOOKUP(J44,cardsort_subgroup_IDs!A:B,2,0)</f>
        <v>327</v>
      </c>
      <c r="L44" s="7">
        <f t="shared" si="3"/>
        <v>1</v>
      </c>
      <c r="M44" s="7">
        <f t="shared" si="4"/>
        <v>0</v>
      </c>
      <c r="N44" s="7">
        <f t="shared" si="5"/>
        <v>1</v>
      </c>
      <c r="O44" s="7">
        <f t="shared" si="2"/>
        <v>1</v>
      </c>
      <c r="P44" s="19" t="s">
        <v>626</v>
      </c>
      <c r="Q44" s="24" t="s">
        <v>732</v>
      </c>
      <c r="R44" s="19" t="s">
        <v>10</v>
      </c>
    </row>
    <row r="45" spans="1:18" ht="135" x14ac:dyDescent="0.25">
      <c r="A45" s="7">
        <v>56</v>
      </c>
      <c r="B45" s="7" t="s">
        <v>135</v>
      </c>
      <c r="C45" s="8" t="s">
        <v>310</v>
      </c>
      <c r="D45" s="19" t="s">
        <v>444</v>
      </c>
      <c r="E45" s="20" t="s">
        <v>557</v>
      </c>
      <c r="F45" s="8" t="s">
        <v>136</v>
      </c>
      <c r="G45" s="7" t="s">
        <v>527</v>
      </c>
      <c r="H45" s="7" t="s">
        <v>529</v>
      </c>
      <c r="I45" s="7">
        <f>VLOOKUP(H45,cardsort_group_IDs!A:B,2,0)</f>
        <v>203</v>
      </c>
      <c r="J45" s="7" t="s">
        <v>100</v>
      </c>
      <c r="K45" s="7">
        <f>VLOOKUP(J45,cardsort_subgroup_IDs!A:B,2,0)</f>
        <v>321</v>
      </c>
      <c r="L45" s="7">
        <f t="shared" si="3"/>
        <v>3</v>
      </c>
      <c r="M45" s="7">
        <f t="shared" si="4"/>
        <v>1</v>
      </c>
      <c r="N45" s="7">
        <f t="shared" si="5"/>
        <v>3</v>
      </c>
      <c r="O45" s="7">
        <f t="shared" si="2"/>
        <v>4</v>
      </c>
      <c r="P45" s="19" t="s">
        <v>626</v>
      </c>
      <c r="Q45" s="24" t="s">
        <v>732</v>
      </c>
      <c r="R45" s="19" t="s">
        <v>10</v>
      </c>
    </row>
    <row r="46" spans="1:18" ht="120" x14ac:dyDescent="0.25">
      <c r="A46" s="7">
        <v>57</v>
      </c>
      <c r="B46" s="12" t="s">
        <v>137</v>
      </c>
      <c r="C46" s="13" t="s">
        <v>10</v>
      </c>
      <c r="D46" s="19" t="s">
        <v>10</v>
      </c>
      <c r="E46" s="20">
        <v>509</v>
      </c>
      <c r="F46" s="8" t="s">
        <v>139</v>
      </c>
      <c r="G46" s="7" t="s">
        <v>527</v>
      </c>
      <c r="H46" s="7" t="s">
        <v>11</v>
      </c>
      <c r="I46" s="7">
        <f>VLOOKUP(H46,cardsort_group_IDs!A:B,2,0)</f>
        <v>201</v>
      </c>
      <c r="J46" s="7" t="s">
        <v>18</v>
      </c>
      <c r="K46" s="7">
        <f>VLOOKUP(J46,cardsort_subgroup_IDs!A:B,2,0)</f>
        <v>302</v>
      </c>
      <c r="L46" s="7">
        <f t="shared" si="3"/>
        <v>1</v>
      </c>
      <c r="M46" s="7">
        <f t="shared" si="4"/>
        <v>0</v>
      </c>
      <c r="N46" s="7">
        <f t="shared" si="5"/>
        <v>1</v>
      </c>
      <c r="O46" s="7">
        <f t="shared" si="2"/>
        <v>1</v>
      </c>
      <c r="P46" s="19" t="s">
        <v>626</v>
      </c>
      <c r="Q46" s="24" t="s">
        <v>732</v>
      </c>
      <c r="R46" s="19" t="s">
        <v>10</v>
      </c>
    </row>
    <row r="47" spans="1:18" ht="360" x14ac:dyDescent="0.25">
      <c r="A47" s="7">
        <v>58</v>
      </c>
      <c r="B47" s="7" t="s">
        <v>140</v>
      </c>
      <c r="C47" s="8" t="s">
        <v>283</v>
      </c>
      <c r="D47" s="19" t="s">
        <v>598</v>
      </c>
      <c r="E47" s="20" t="s">
        <v>578</v>
      </c>
      <c r="F47" s="8" t="s">
        <v>141</v>
      </c>
      <c r="G47" s="7" t="s">
        <v>527</v>
      </c>
      <c r="H47" s="7" t="s">
        <v>529</v>
      </c>
      <c r="I47" s="7">
        <f>VLOOKUP(H47,cardsort_group_IDs!A:B,2,0)</f>
        <v>203</v>
      </c>
      <c r="J47" s="8" t="s">
        <v>62</v>
      </c>
      <c r="K47" s="7">
        <f>VLOOKUP(J47,cardsort_subgroup_IDs!A:B,2,0)</f>
        <v>313</v>
      </c>
      <c r="L47" s="7">
        <f t="shared" si="3"/>
        <v>3</v>
      </c>
      <c r="M47" s="7">
        <f t="shared" si="4"/>
        <v>1</v>
      </c>
      <c r="N47" s="7">
        <f t="shared" si="5"/>
        <v>3</v>
      </c>
      <c r="O47" s="7">
        <f t="shared" si="2"/>
        <v>4</v>
      </c>
      <c r="P47" s="19" t="s">
        <v>135</v>
      </c>
      <c r="Q47" s="24" t="s">
        <v>731</v>
      </c>
      <c r="R47" s="19" t="s">
        <v>10</v>
      </c>
    </row>
    <row r="48" spans="1:18" x14ac:dyDescent="0.25">
      <c r="A48" s="7">
        <v>59</v>
      </c>
      <c r="B48" s="7" t="s">
        <v>142</v>
      </c>
      <c r="C48" s="8" t="s">
        <v>284</v>
      </c>
      <c r="D48" s="19" t="s">
        <v>10</v>
      </c>
      <c r="E48" s="20" t="s">
        <v>448</v>
      </c>
      <c r="F48" s="8" t="s">
        <v>143</v>
      </c>
      <c r="G48" s="7" t="s">
        <v>527</v>
      </c>
      <c r="H48" s="7" t="s">
        <v>529</v>
      </c>
      <c r="I48" s="7">
        <f>VLOOKUP(H48,cardsort_group_IDs!A:B,2,0)</f>
        <v>203</v>
      </c>
      <c r="J48" s="7" t="s">
        <v>26</v>
      </c>
      <c r="K48" s="7">
        <f>VLOOKUP(J48,cardsort_subgroup_IDs!A:B,2,0)</f>
        <v>305</v>
      </c>
      <c r="L48" s="7">
        <f t="shared" si="3"/>
        <v>1</v>
      </c>
      <c r="M48" s="7">
        <f t="shared" si="4"/>
        <v>0</v>
      </c>
      <c r="N48" s="7">
        <f t="shared" si="5"/>
        <v>4</v>
      </c>
      <c r="O48" s="7">
        <f t="shared" si="2"/>
        <v>4</v>
      </c>
      <c r="P48" s="19" t="s">
        <v>135</v>
      </c>
      <c r="Q48" s="24" t="s">
        <v>731</v>
      </c>
      <c r="R48" s="19" t="s">
        <v>10</v>
      </c>
    </row>
    <row r="49" spans="1:18" ht="105" x14ac:dyDescent="0.25">
      <c r="A49" s="7">
        <v>62</v>
      </c>
      <c r="B49" s="14" t="s">
        <v>145</v>
      </c>
      <c r="C49" s="10" t="s">
        <v>146</v>
      </c>
      <c r="D49" s="20" t="s">
        <v>663</v>
      </c>
      <c r="E49" s="20" t="s">
        <v>550</v>
      </c>
      <c r="F49" s="8" t="s">
        <v>147</v>
      </c>
      <c r="G49" s="7" t="s">
        <v>527</v>
      </c>
      <c r="H49" s="7" t="s">
        <v>16</v>
      </c>
      <c r="I49" s="7">
        <f>VLOOKUP(H49,cardsort_group_IDs!A:B,2,0)</f>
        <v>204</v>
      </c>
      <c r="J49" s="7" t="s">
        <v>29</v>
      </c>
      <c r="K49" s="7">
        <f>VLOOKUP(J49,cardsort_subgroup_IDs!A:B,2,0)</f>
        <v>306</v>
      </c>
      <c r="L49" s="7">
        <f t="shared" si="3"/>
        <v>3</v>
      </c>
      <c r="M49" s="7">
        <f t="shared" si="4"/>
        <v>3</v>
      </c>
      <c r="N49" s="7">
        <f t="shared" si="5"/>
        <v>8</v>
      </c>
      <c r="O49" s="7">
        <f t="shared" si="2"/>
        <v>11</v>
      </c>
      <c r="P49" s="19" t="s">
        <v>626</v>
      </c>
      <c r="Q49" s="24" t="s">
        <v>732</v>
      </c>
      <c r="R49" s="19" t="s">
        <v>10</v>
      </c>
    </row>
    <row r="50" spans="1:18" ht="90" x14ac:dyDescent="0.25">
      <c r="A50" s="7">
        <v>63</v>
      </c>
      <c r="B50" s="7" t="s">
        <v>148</v>
      </c>
      <c r="C50" s="8" t="s">
        <v>285</v>
      </c>
      <c r="D50" s="19" t="s">
        <v>680</v>
      </c>
      <c r="E50" s="20" t="s">
        <v>463</v>
      </c>
      <c r="F50" s="8" t="s">
        <v>150</v>
      </c>
      <c r="G50" s="7" t="s">
        <v>527</v>
      </c>
      <c r="H50" s="7" t="s">
        <v>37</v>
      </c>
      <c r="I50" s="7">
        <f>VLOOKUP(H50,cardsort_group_IDs!A:B,2,0)</f>
        <v>205</v>
      </c>
      <c r="J50" s="7" t="s">
        <v>42</v>
      </c>
      <c r="K50" s="7">
        <f>VLOOKUP(J50,cardsort_subgroup_IDs!A:B,2,0)</f>
        <v>309</v>
      </c>
      <c r="L50" s="7">
        <f t="shared" si="3"/>
        <v>3</v>
      </c>
      <c r="M50" s="7">
        <f t="shared" si="4"/>
        <v>2</v>
      </c>
      <c r="N50" s="7">
        <f t="shared" si="5"/>
        <v>2</v>
      </c>
      <c r="O50" s="7">
        <f t="shared" si="2"/>
        <v>4</v>
      </c>
      <c r="P50" s="19" t="s">
        <v>135</v>
      </c>
      <c r="Q50" s="24" t="s">
        <v>733</v>
      </c>
      <c r="R50" s="19" t="s">
        <v>10</v>
      </c>
    </row>
    <row r="51" spans="1:18" ht="30" x14ac:dyDescent="0.25">
      <c r="A51" s="7">
        <v>64</v>
      </c>
      <c r="B51" s="7" t="s">
        <v>151</v>
      </c>
      <c r="C51" s="8" t="s">
        <v>10</v>
      </c>
      <c r="D51" s="20">
        <v>201</v>
      </c>
      <c r="E51" s="20" t="s">
        <v>10</v>
      </c>
      <c r="F51" s="8" t="s">
        <v>152</v>
      </c>
      <c r="G51" s="7" t="s">
        <v>527</v>
      </c>
      <c r="H51" s="7" t="s">
        <v>22</v>
      </c>
      <c r="I51" s="7">
        <f>VLOOKUP(H51,cardsort_group_IDs!A:B,2,0)</f>
        <v>202</v>
      </c>
      <c r="J51" s="7" t="s">
        <v>23</v>
      </c>
      <c r="K51" s="7">
        <f>VLOOKUP(J51,cardsort_subgroup_IDs!A:B,2,0)</f>
        <v>303</v>
      </c>
      <c r="L51" s="7">
        <f t="shared" si="3"/>
        <v>2</v>
      </c>
      <c r="M51" s="7">
        <f t="shared" si="4"/>
        <v>1</v>
      </c>
      <c r="N51" s="7">
        <f t="shared" si="5"/>
        <v>0</v>
      </c>
      <c r="O51" s="7">
        <f t="shared" si="2"/>
        <v>1</v>
      </c>
      <c r="P51" s="19" t="s">
        <v>626</v>
      </c>
      <c r="Q51" s="24" t="s">
        <v>731</v>
      </c>
      <c r="R51" s="19" t="s">
        <v>10</v>
      </c>
    </row>
    <row r="52" spans="1:18" ht="150" x14ac:dyDescent="0.25">
      <c r="A52" s="7">
        <v>65</v>
      </c>
      <c r="B52" s="7" t="s">
        <v>153</v>
      </c>
      <c r="C52" s="8" t="s">
        <v>286</v>
      </c>
      <c r="D52" s="20" t="s">
        <v>664</v>
      </c>
      <c r="E52" s="20" t="s">
        <v>549</v>
      </c>
      <c r="F52" s="8" t="s">
        <v>154</v>
      </c>
      <c r="G52" s="7" t="s">
        <v>527</v>
      </c>
      <c r="H52" s="7" t="s">
        <v>22</v>
      </c>
      <c r="I52" s="7">
        <f>VLOOKUP(H52,cardsort_group_IDs!A:B,2,0)</f>
        <v>202</v>
      </c>
      <c r="J52" s="7" t="s">
        <v>125</v>
      </c>
      <c r="K52" s="7">
        <f>VLOOKUP(J52,cardsort_subgroup_IDs!A:B,2,0)</f>
        <v>325</v>
      </c>
      <c r="L52" s="7">
        <f t="shared" si="3"/>
        <v>3</v>
      </c>
      <c r="M52" s="7">
        <f t="shared" si="4"/>
        <v>7</v>
      </c>
      <c r="N52" s="7">
        <f t="shared" si="5"/>
        <v>9</v>
      </c>
      <c r="O52" s="7">
        <f t="shared" si="2"/>
        <v>16</v>
      </c>
      <c r="P52" s="19" t="s">
        <v>626</v>
      </c>
      <c r="Q52" s="24" t="s">
        <v>732</v>
      </c>
      <c r="R52" s="19" t="s">
        <v>10</v>
      </c>
    </row>
    <row r="53" spans="1:18" ht="120" x14ac:dyDescent="0.25">
      <c r="A53" s="7">
        <v>66</v>
      </c>
      <c r="B53" s="14" t="s">
        <v>155</v>
      </c>
      <c r="C53" s="10" t="s">
        <v>287</v>
      </c>
      <c r="D53" s="19" t="s">
        <v>10</v>
      </c>
      <c r="E53" s="20">
        <v>235</v>
      </c>
      <c r="F53" s="8" t="s">
        <v>156</v>
      </c>
      <c r="G53" s="7" t="s">
        <v>527</v>
      </c>
      <c r="H53" s="7" t="s">
        <v>53</v>
      </c>
      <c r="I53" s="7">
        <f>VLOOKUP(H53,cardsort_group_IDs!A:B,2,0)</f>
        <v>206</v>
      </c>
      <c r="J53" s="7" t="s">
        <v>16</v>
      </c>
      <c r="K53" s="7">
        <f>VLOOKUP(J53,cardsort_subgroup_IDs!A:B,2,0)</f>
        <v>311</v>
      </c>
      <c r="L53" s="7">
        <f t="shared" si="3"/>
        <v>1</v>
      </c>
      <c r="M53" s="7">
        <f t="shared" si="4"/>
        <v>0</v>
      </c>
      <c r="N53" s="7">
        <f t="shared" si="5"/>
        <v>1</v>
      </c>
      <c r="O53" s="7">
        <f t="shared" si="2"/>
        <v>1</v>
      </c>
      <c r="P53" s="19" t="s">
        <v>626</v>
      </c>
      <c r="Q53" s="24" t="s">
        <v>732</v>
      </c>
      <c r="R53" s="19" t="s">
        <v>10</v>
      </c>
    </row>
    <row r="54" spans="1:18" ht="30" x14ac:dyDescent="0.25">
      <c r="A54" s="7">
        <v>67</v>
      </c>
      <c r="B54" s="8" t="s">
        <v>734</v>
      </c>
      <c r="C54" s="8" t="s">
        <v>10</v>
      </c>
      <c r="D54" s="19" t="s">
        <v>444</v>
      </c>
      <c r="E54" s="20" t="s">
        <v>446</v>
      </c>
      <c r="F54" s="8" t="s">
        <v>157</v>
      </c>
      <c r="G54" s="7" t="s">
        <v>527</v>
      </c>
      <c r="H54" s="7" t="s">
        <v>53</v>
      </c>
      <c r="I54" s="7">
        <f>VLOOKUP(H54,cardsort_group_IDs!A:B,2,0)</f>
        <v>206</v>
      </c>
      <c r="J54" s="7" t="s">
        <v>128</v>
      </c>
      <c r="K54" s="7">
        <f>VLOOKUP(J54,cardsort_subgroup_IDs!A:B,2,0)</f>
        <v>326</v>
      </c>
      <c r="L54" s="7">
        <f t="shared" si="3"/>
        <v>3</v>
      </c>
      <c r="M54" s="7">
        <f t="shared" si="4"/>
        <v>1</v>
      </c>
      <c r="N54" s="7">
        <f t="shared" si="5"/>
        <v>2</v>
      </c>
      <c r="O54" s="7">
        <f t="shared" si="2"/>
        <v>3</v>
      </c>
      <c r="P54" s="19" t="s">
        <v>626</v>
      </c>
      <c r="Q54" s="24" t="s">
        <v>732</v>
      </c>
      <c r="R54" s="19" t="s">
        <v>10</v>
      </c>
    </row>
    <row r="55" spans="1:18" x14ac:dyDescent="0.25">
      <c r="A55" s="7">
        <v>69</v>
      </c>
      <c r="B55" s="14" t="s">
        <v>158</v>
      </c>
      <c r="C55" s="10" t="s">
        <v>288</v>
      </c>
      <c r="D55" s="19" t="s">
        <v>436</v>
      </c>
      <c r="E55" s="20" t="s">
        <v>449</v>
      </c>
      <c r="F55" s="8" t="s">
        <v>159</v>
      </c>
      <c r="G55" s="7" t="s">
        <v>527</v>
      </c>
      <c r="H55" s="7" t="s">
        <v>76</v>
      </c>
      <c r="I55" s="7">
        <f>VLOOKUP(H55,cardsort_group_IDs!A:B,2,0)</f>
        <v>208</v>
      </c>
      <c r="J55" s="7" t="s">
        <v>85</v>
      </c>
      <c r="K55" s="7">
        <f>VLOOKUP(J55,cardsort_subgroup_IDs!A:B,2,0)</f>
        <v>318</v>
      </c>
      <c r="L55" s="7">
        <f t="shared" si="3"/>
        <v>3</v>
      </c>
      <c r="M55" s="7">
        <f t="shared" si="4"/>
        <v>1</v>
      </c>
      <c r="N55" s="7">
        <f t="shared" si="5"/>
        <v>2</v>
      </c>
      <c r="O55" s="7">
        <f t="shared" si="2"/>
        <v>3</v>
      </c>
      <c r="P55" s="19" t="s">
        <v>626</v>
      </c>
      <c r="Q55" s="24" t="s">
        <v>732</v>
      </c>
      <c r="R55" s="19" t="s">
        <v>10</v>
      </c>
    </row>
    <row r="56" spans="1:18" ht="90" x14ac:dyDescent="0.25">
      <c r="A56" s="7">
        <v>70</v>
      </c>
      <c r="B56" s="7" t="s">
        <v>160</v>
      </c>
      <c r="C56" s="8" t="s">
        <v>289</v>
      </c>
      <c r="D56" s="19" t="s">
        <v>10</v>
      </c>
      <c r="E56" s="20" t="s">
        <v>290</v>
      </c>
      <c r="F56" s="8" t="s">
        <v>161</v>
      </c>
      <c r="G56" s="7" t="s">
        <v>527</v>
      </c>
      <c r="H56" s="7" t="s">
        <v>37</v>
      </c>
      <c r="I56" s="7">
        <f>VLOOKUP(H56,cardsort_group_IDs!A:B,2,0)</f>
        <v>205</v>
      </c>
      <c r="J56" s="7" t="s">
        <v>42</v>
      </c>
      <c r="K56" s="7">
        <f>VLOOKUP(J56,cardsort_subgroup_IDs!A:B,2,0)</f>
        <v>309</v>
      </c>
      <c r="L56" s="7">
        <f t="shared" si="3"/>
        <v>1</v>
      </c>
      <c r="M56" s="7">
        <f t="shared" si="4"/>
        <v>0</v>
      </c>
      <c r="N56" s="7">
        <f t="shared" si="5"/>
        <v>2</v>
      </c>
      <c r="O56" s="7">
        <f t="shared" si="2"/>
        <v>2</v>
      </c>
      <c r="P56" s="19" t="s">
        <v>626</v>
      </c>
      <c r="Q56" s="24" t="s">
        <v>733</v>
      </c>
      <c r="R56" s="19" t="s">
        <v>10</v>
      </c>
    </row>
    <row r="57" spans="1:18" ht="45" x14ac:dyDescent="0.25">
      <c r="A57" s="7">
        <v>71</v>
      </c>
      <c r="B57" s="7" t="s">
        <v>162</v>
      </c>
      <c r="C57" s="8" t="s">
        <v>10</v>
      </c>
      <c r="D57" s="19" t="s">
        <v>444</v>
      </c>
      <c r="E57" s="20" t="s">
        <v>446</v>
      </c>
      <c r="F57" s="8" t="s">
        <v>163</v>
      </c>
      <c r="G57" s="7" t="s">
        <v>527</v>
      </c>
      <c r="H57" s="7" t="s">
        <v>16</v>
      </c>
      <c r="I57" s="7">
        <f>VLOOKUP(H57,cardsort_group_IDs!A:B,2,0)</f>
        <v>204</v>
      </c>
      <c r="J57" s="7" t="s">
        <v>17</v>
      </c>
      <c r="K57" s="7">
        <f>VLOOKUP(J57,cardsort_subgroup_IDs!A:B,2,0)</f>
        <v>327</v>
      </c>
      <c r="L57" s="7">
        <f t="shared" si="3"/>
        <v>3</v>
      </c>
      <c r="M57" s="7">
        <f t="shared" si="4"/>
        <v>1</v>
      </c>
      <c r="N57" s="7">
        <f t="shared" si="5"/>
        <v>2</v>
      </c>
      <c r="O57" s="7">
        <f t="shared" si="2"/>
        <v>3</v>
      </c>
      <c r="P57" s="19" t="s">
        <v>626</v>
      </c>
      <c r="Q57" s="24" t="s">
        <v>732</v>
      </c>
      <c r="R57" s="19" t="s">
        <v>10</v>
      </c>
    </row>
    <row r="58" spans="1:18" ht="30" x14ac:dyDescent="0.25">
      <c r="A58" s="7">
        <v>72</v>
      </c>
      <c r="B58" s="8" t="s">
        <v>164</v>
      </c>
      <c r="C58" s="8" t="s">
        <v>10</v>
      </c>
      <c r="D58" s="19" t="s">
        <v>444</v>
      </c>
      <c r="E58" s="20" t="s">
        <v>446</v>
      </c>
      <c r="F58" s="8" t="s">
        <v>165</v>
      </c>
      <c r="G58" s="7" t="s">
        <v>527</v>
      </c>
      <c r="H58" s="7" t="s">
        <v>11</v>
      </c>
      <c r="I58" s="7">
        <f>VLOOKUP(H58,cardsort_group_IDs!A:B,2,0)</f>
        <v>201</v>
      </c>
      <c r="J58" s="7" t="s">
        <v>166</v>
      </c>
      <c r="K58" s="7">
        <f>VLOOKUP(J58,cardsort_subgroup_IDs!A:B,2,0)</f>
        <v>329</v>
      </c>
      <c r="L58" s="7">
        <f t="shared" si="3"/>
        <v>3</v>
      </c>
      <c r="M58" s="7">
        <f t="shared" si="4"/>
        <v>1</v>
      </c>
      <c r="N58" s="7">
        <f t="shared" si="5"/>
        <v>2</v>
      </c>
      <c r="O58" s="7">
        <f t="shared" si="2"/>
        <v>3</v>
      </c>
      <c r="P58" s="19" t="s">
        <v>626</v>
      </c>
      <c r="Q58" s="24" t="s">
        <v>731</v>
      </c>
      <c r="R58" s="19" t="s">
        <v>10</v>
      </c>
    </row>
    <row r="59" spans="1:18" ht="105" x14ac:dyDescent="0.25">
      <c r="A59" s="7">
        <v>73</v>
      </c>
      <c r="B59" s="7" t="s">
        <v>167</v>
      </c>
      <c r="C59" s="8" t="s">
        <v>10</v>
      </c>
      <c r="D59" s="19" t="s">
        <v>444</v>
      </c>
      <c r="E59" s="20" t="s">
        <v>446</v>
      </c>
      <c r="F59" s="8" t="s">
        <v>168</v>
      </c>
      <c r="G59" s="7" t="s">
        <v>527</v>
      </c>
      <c r="H59" s="7" t="s">
        <v>22</v>
      </c>
      <c r="I59" s="7">
        <f>VLOOKUP(H59,cardsort_group_IDs!A:B,2,0)</f>
        <v>202</v>
      </c>
      <c r="J59" s="7" t="s">
        <v>169</v>
      </c>
      <c r="K59" s="7">
        <f>VLOOKUP(J59,cardsort_subgroup_IDs!A:B,2,0)</f>
        <v>304</v>
      </c>
      <c r="L59" s="7">
        <f t="shared" si="3"/>
        <v>3</v>
      </c>
      <c r="M59" s="7">
        <f t="shared" si="4"/>
        <v>1</v>
      </c>
      <c r="N59" s="7">
        <f t="shared" si="5"/>
        <v>2</v>
      </c>
      <c r="O59" s="7">
        <f t="shared" si="2"/>
        <v>3</v>
      </c>
      <c r="P59" s="19" t="s">
        <v>626</v>
      </c>
      <c r="Q59" s="24" t="s">
        <v>732</v>
      </c>
      <c r="R59" s="19" t="s">
        <v>10</v>
      </c>
    </row>
    <row r="60" spans="1:18" ht="75" x14ac:dyDescent="0.25">
      <c r="A60" s="7">
        <v>74</v>
      </c>
      <c r="B60" s="7" t="s">
        <v>170</v>
      </c>
      <c r="C60" s="8" t="s">
        <v>10</v>
      </c>
      <c r="D60" s="19" t="s">
        <v>10</v>
      </c>
      <c r="E60" s="20">
        <v>183</v>
      </c>
      <c r="F60" s="8" t="s">
        <v>171</v>
      </c>
      <c r="G60" s="7" t="s">
        <v>527</v>
      </c>
      <c r="H60" s="7" t="s">
        <v>11</v>
      </c>
      <c r="I60" s="7">
        <f>VLOOKUP(H60,cardsort_group_IDs!A:B,2,0)</f>
        <v>201</v>
      </c>
      <c r="J60" s="7" t="s">
        <v>18</v>
      </c>
      <c r="K60" s="7">
        <f>VLOOKUP(J60,cardsort_subgroup_IDs!A:B,2,0)</f>
        <v>302</v>
      </c>
      <c r="L60" s="7">
        <f t="shared" si="3"/>
        <v>1</v>
      </c>
      <c r="M60" s="7">
        <f t="shared" si="4"/>
        <v>0</v>
      </c>
      <c r="N60" s="7">
        <f t="shared" si="5"/>
        <v>1</v>
      </c>
      <c r="O60" s="7">
        <f t="shared" si="2"/>
        <v>1</v>
      </c>
      <c r="P60" s="19" t="s">
        <v>626</v>
      </c>
      <c r="Q60" s="24" t="s">
        <v>732</v>
      </c>
      <c r="R60" s="19" t="s">
        <v>10</v>
      </c>
    </row>
    <row r="61" spans="1:18" ht="90" x14ac:dyDescent="0.25">
      <c r="A61" s="7">
        <v>75</v>
      </c>
      <c r="B61" s="7" t="s">
        <v>172</v>
      </c>
      <c r="C61" s="8" t="s">
        <v>10</v>
      </c>
      <c r="D61" s="19" t="s">
        <v>516</v>
      </c>
      <c r="E61" s="20">
        <v>183</v>
      </c>
      <c r="F61" s="8" t="s">
        <v>173</v>
      </c>
      <c r="G61" s="7" t="s">
        <v>527</v>
      </c>
      <c r="H61" s="7" t="s">
        <v>37</v>
      </c>
      <c r="I61" s="7">
        <f>VLOOKUP(H61,cardsort_group_IDs!A:B,2,0)</f>
        <v>205</v>
      </c>
      <c r="J61" s="7" t="s">
        <v>89</v>
      </c>
      <c r="K61" s="7">
        <f>VLOOKUP(J61,cardsort_subgroup_IDs!A:B,2,0)</f>
        <v>319</v>
      </c>
      <c r="L61" s="7">
        <f t="shared" si="3"/>
        <v>3</v>
      </c>
      <c r="M61" s="7">
        <f t="shared" si="4"/>
        <v>1</v>
      </c>
      <c r="N61" s="7">
        <f t="shared" si="5"/>
        <v>1</v>
      </c>
      <c r="O61" s="7">
        <f t="shared" si="2"/>
        <v>2</v>
      </c>
      <c r="P61" s="19" t="s">
        <v>626</v>
      </c>
      <c r="Q61" s="24" t="s">
        <v>732</v>
      </c>
      <c r="R61" s="19" t="s">
        <v>10</v>
      </c>
    </row>
    <row r="62" spans="1:18" ht="45" x14ac:dyDescent="0.25">
      <c r="A62" s="7">
        <v>76</v>
      </c>
      <c r="B62" s="7" t="s">
        <v>174</v>
      </c>
      <c r="C62" s="8" t="s">
        <v>291</v>
      </c>
      <c r="D62" s="19" t="s">
        <v>10</v>
      </c>
      <c r="E62" s="20" t="s">
        <v>468</v>
      </c>
      <c r="F62" s="8" t="s">
        <v>175</v>
      </c>
      <c r="G62" s="7" t="s">
        <v>527</v>
      </c>
      <c r="H62" s="7" t="s">
        <v>11</v>
      </c>
      <c r="I62" s="7">
        <f>VLOOKUP(H62,cardsort_group_IDs!A:B,2,0)</f>
        <v>201</v>
      </c>
      <c r="J62" s="7" t="s">
        <v>122</v>
      </c>
      <c r="K62" s="7">
        <f>VLOOKUP(J62,cardsort_subgroup_IDs!A:B,2,0)</f>
        <v>324</v>
      </c>
      <c r="L62" s="7">
        <f t="shared" si="3"/>
        <v>1</v>
      </c>
      <c r="M62" s="7">
        <f t="shared" si="4"/>
        <v>0</v>
      </c>
      <c r="N62" s="7">
        <f t="shared" si="5"/>
        <v>2</v>
      </c>
      <c r="O62" s="7">
        <f t="shared" si="2"/>
        <v>2</v>
      </c>
      <c r="P62" s="19" t="s">
        <v>626</v>
      </c>
      <c r="Q62" s="24" t="s">
        <v>732</v>
      </c>
      <c r="R62" s="19" t="s">
        <v>10</v>
      </c>
    </row>
    <row r="63" spans="1:18" ht="30" x14ac:dyDescent="0.25">
      <c r="A63" s="7">
        <v>77</v>
      </c>
      <c r="B63" s="7" t="s">
        <v>176</v>
      </c>
      <c r="C63" s="8" t="s">
        <v>10</v>
      </c>
      <c r="D63" s="19" t="s">
        <v>444</v>
      </c>
      <c r="E63" s="20" t="s">
        <v>446</v>
      </c>
      <c r="F63" s="8" t="s">
        <v>177</v>
      </c>
      <c r="G63" s="7" t="s">
        <v>528</v>
      </c>
      <c r="H63" s="7" t="s">
        <v>529</v>
      </c>
      <c r="I63" s="7">
        <f>VLOOKUP(H63,cardsort_group_IDs!A:B,2,0)</f>
        <v>203</v>
      </c>
      <c r="J63" s="7" t="s">
        <v>26</v>
      </c>
      <c r="K63" s="7">
        <f>VLOOKUP(J63,cardsort_subgroup_IDs!A:B,2,0)</f>
        <v>305</v>
      </c>
      <c r="L63" s="7">
        <f t="shared" si="3"/>
        <v>3</v>
      </c>
      <c r="M63" s="7">
        <f t="shared" si="4"/>
        <v>1</v>
      </c>
      <c r="N63" s="7">
        <f t="shared" si="5"/>
        <v>2</v>
      </c>
      <c r="O63" s="7">
        <f t="shared" si="2"/>
        <v>3</v>
      </c>
      <c r="P63" s="19" t="s">
        <v>626</v>
      </c>
      <c r="Q63" s="24" t="s">
        <v>731</v>
      </c>
      <c r="R63" s="19" t="s">
        <v>10</v>
      </c>
    </row>
    <row r="64" spans="1:18" ht="30" x14ac:dyDescent="0.25">
      <c r="A64" s="7">
        <v>78</v>
      </c>
      <c r="B64" s="7" t="s">
        <v>178</v>
      </c>
      <c r="C64" s="8" t="s">
        <v>179</v>
      </c>
      <c r="D64" s="19" t="s">
        <v>672</v>
      </c>
      <c r="E64" s="20" t="s">
        <v>568</v>
      </c>
      <c r="F64" s="8" t="s">
        <v>180</v>
      </c>
      <c r="G64" s="7" t="s">
        <v>528</v>
      </c>
      <c r="H64" s="7" t="s">
        <v>529</v>
      </c>
      <c r="I64" s="7">
        <f>VLOOKUP(H64,cardsort_group_IDs!A:B,2,0)</f>
        <v>203</v>
      </c>
      <c r="J64" s="8" t="s">
        <v>62</v>
      </c>
      <c r="K64" s="7">
        <f>VLOOKUP(J64,cardsort_subgroup_IDs!A:B,2,0)</f>
        <v>313</v>
      </c>
      <c r="L64" s="7">
        <f t="shared" ref="L64:L111" si="6">IF(E64="-",0,1)+IF(D64="-",0,2)</f>
        <v>3</v>
      </c>
      <c r="M64" s="7">
        <f t="shared" si="4"/>
        <v>6</v>
      </c>
      <c r="N64" s="7">
        <f t="shared" si="5"/>
        <v>5</v>
      </c>
      <c r="O64" s="7">
        <f t="shared" ref="O64:O111" si="7">SUM(M64:N64)</f>
        <v>11</v>
      </c>
      <c r="P64" s="19" t="s">
        <v>135</v>
      </c>
      <c r="Q64" s="24" t="s">
        <v>731</v>
      </c>
      <c r="R64" s="19" t="s">
        <v>10</v>
      </c>
    </row>
    <row r="65" spans="1:18" ht="120" x14ac:dyDescent="0.25">
      <c r="A65" s="7">
        <v>79</v>
      </c>
      <c r="B65" s="7" t="s">
        <v>181</v>
      </c>
      <c r="C65" s="8" t="s">
        <v>10</v>
      </c>
      <c r="D65" s="19" t="s">
        <v>443</v>
      </c>
      <c r="E65" s="20" t="s">
        <v>690</v>
      </c>
      <c r="F65" s="8" t="s">
        <v>182</v>
      </c>
      <c r="G65" s="7" t="s">
        <v>528</v>
      </c>
      <c r="H65" s="7" t="s">
        <v>76</v>
      </c>
      <c r="I65" s="7">
        <f>VLOOKUP(H65,cardsort_group_IDs!A:B,2,0)</f>
        <v>208</v>
      </c>
      <c r="J65" s="7" t="s">
        <v>85</v>
      </c>
      <c r="K65" s="7">
        <f>VLOOKUP(J65,cardsort_subgroup_IDs!A:B,2,0)</f>
        <v>318</v>
      </c>
      <c r="L65" s="7">
        <f t="shared" si="6"/>
        <v>3</v>
      </c>
      <c r="M65" s="7">
        <f t="shared" si="4"/>
        <v>1</v>
      </c>
      <c r="N65" s="7">
        <f t="shared" si="5"/>
        <v>3</v>
      </c>
      <c r="O65" s="7">
        <f t="shared" si="7"/>
        <v>4</v>
      </c>
      <c r="P65" s="19" t="s">
        <v>135</v>
      </c>
      <c r="Q65" s="24" t="s">
        <v>732</v>
      </c>
      <c r="R65" s="19" t="s">
        <v>10</v>
      </c>
    </row>
    <row r="66" spans="1:18" ht="165" x14ac:dyDescent="0.25">
      <c r="A66" s="7">
        <v>80</v>
      </c>
      <c r="B66" s="7" t="s">
        <v>183</v>
      </c>
      <c r="C66" s="8" t="s">
        <v>10</v>
      </c>
      <c r="D66" s="19" t="s">
        <v>10</v>
      </c>
      <c r="E66" s="20">
        <v>509</v>
      </c>
      <c r="F66" s="8" t="s">
        <v>184</v>
      </c>
      <c r="G66" s="7" t="s">
        <v>528</v>
      </c>
      <c r="H66" s="7" t="s">
        <v>76</v>
      </c>
      <c r="I66" s="7">
        <f>VLOOKUP(H66,cardsort_group_IDs!A:B,2,0)</f>
        <v>208</v>
      </c>
      <c r="J66" s="7" t="s">
        <v>37</v>
      </c>
      <c r="K66" s="7">
        <f>VLOOKUP(J66,cardsort_subgroup_IDs!A:B,2,0)</f>
        <v>317</v>
      </c>
      <c r="L66" s="7">
        <f t="shared" si="6"/>
        <v>1</v>
      </c>
      <c r="M66" s="7">
        <f t="shared" ref="M66:M97" si="8">IF(D66="-",0,LEN(D66)-LEN(SUBSTITUTE(D66,";",""))+1)</f>
        <v>0</v>
      </c>
      <c r="N66" s="7">
        <f t="shared" ref="N66:N97" si="9">IF(E66="-",0,LEN(E66)-LEN(SUBSTITUTE(E66,";",""))+1)</f>
        <v>1</v>
      </c>
      <c r="O66" s="7">
        <f t="shared" si="7"/>
        <v>1</v>
      </c>
      <c r="P66" s="19" t="s">
        <v>626</v>
      </c>
      <c r="Q66" s="24" t="s">
        <v>733</v>
      </c>
      <c r="R66" s="19" t="s">
        <v>10</v>
      </c>
    </row>
    <row r="67" spans="1:18" ht="105" x14ac:dyDescent="0.25">
      <c r="A67" s="7">
        <v>81</v>
      </c>
      <c r="B67" s="7" t="s">
        <v>185</v>
      </c>
      <c r="C67" s="8" t="s">
        <v>10</v>
      </c>
      <c r="D67" s="19" t="s">
        <v>438</v>
      </c>
      <c r="E67" s="20">
        <v>202</v>
      </c>
      <c r="F67" s="8" t="s">
        <v>186</v>
      </c>
      <c r="G67" s="7" t="s">
        <v>527</v>
      </c>
      <c r="H67" s="7" t="s">
        <v>37</v>
      </c>
      <c r="I67" s="7">
        <f>VLOOKUP(H67,cardsort_group_IDs!A:B,2,0)</f>
        <v>205</v>
      </c>
      <c r="J67" s="7" t="s">
        <v>89</v>
      </c>
      <c r="K67" s="7">
        <f>VLOOKUP(J67,cardsort_subgroup_IDs!A:B,2,0)</f>
        <v>319</v>
      </c>
      <c r="L67" s="7">
        <f t="shared" si="6"/>
        <v>3</v>
      </c>
      <c r="M67" s="7">
        <f t="shared" si="8"/>
        <v>1</v>
      </c>
      <c r="N67" s="7">
        <f t="shared" si="9"/>
        <v>1</v>
      </c>
      <c r="O67" s="7">
        <f t="shared" si="7"/>
        <v>2</v>
      </c>
      <c r="P67" s="19" t="s">
        <v>626</v>
      </c>
      <c r="Q67" s="24" t="s">
        <v>732</v>
      </c>
      <c r="R67" s="19" t="s">
        <v>10</v>
      </c>
    </row>
    <row r="68" spans="1:18" ht="45" x14ac:dyDescent="0.25">
      <c r="A68" s="7">
        <v>82</v>
      </c>
      <c r="B68" s="7" t="s">
        <v>187</v>
      </c>
      <c r="C68" s="8" t="s">
        <v>10</v>
      </c>
      <c r="D68" s="19" t="s">
        <v>10</v>
      </c>
      <c r="E68" s="20">
        <v>509</v>
      </c>
      <c r="F68" s="8" t="s">
        <v>188</v>
      </c>
      <c r="G68" s="7" t="s">
        <v>527</v>
      </c>
      <c r="H68" s="7" t="s">
        <v>11</v>
      </c>
      <c r="I68" s="7">
        <f>VLOOKUP(H68,cardsort_group_IDs!A:B,2,0)</f>
        <v>201</v>
      </c>
      <c r="J68" s="7" t="s">
        <v>166</v>
      </c>
      <c r="K68" s="7">
        <f>VLOOKUP(J68,cardsort_subgroup_IDs!A:B,2,0)</f>
        <v>329</v>
      </c>
      <c r="L68" s="7">
        <f t="shared" si="6"/>
        <v>1</v>
      </c>
      <c r="M68" s="7">
        <f t="shared" si="8"/>
        <v>0</v>
      </c>
      <c r="N68" s="7">
        <f t="shared" si="9"/>
        <v>1</v>
      </c>
      <c r="O68" s="7">
        <f t="shared" si="7"/>
        <v>1</v>
      </c>
      <c r="P68" s="19" t="s">
        <v>626</v>
      </c>
      <c r="Q68" s="24" t="s">
        <v>732</v>
      </c>
      <c r="R68" s="19" t="s">
        <v>10</v>
      </c>
    </row>
    <row r="69" spans="1:18" ht="75" x14ac:dyDescent="0.25">
      <c r="A69" s="7">
        <v>83</v>
      </c>
      <c r="B69" s="8" t="s">
        <v>189</v>
      </c>
      <c r="C69" s="8" t="s">
        <v>665</v>
      </c>
      <c r="D69" s="19" t="s">
        <v>666</v>
      </c>
      <c r="E69" s="20" t="s">
        <v>468</v>
      </c>
      <c r="F69" s="8" t="s">
        <v>190</v>
      </c>
      <c r="G69" s="7" t="s">
        <v>527</v>
      </c>
      <c r="H69" s="7" t="s">
        <v>529</v>
      </c>
      <c r="I69" s="7">
        <f>VLOOKUP(H69,cardsort_group_IDs!A:B,2,0)</f>
        <v>203</v>
      </c>
      <c r="J69" s="7" t="s">
        <v>144</v>
      </c>
      <c r="K69" s="7">
        <f>VLOOKUP(J69,cardsort_subgroup_IDs!A:B,2,0)</f>
        <v>328</v>
      </c>
      <c r="L69" s="7">
        <f t="shared" si="6"/>
        <v>3</v>
      </c>
      <c r="M69" s="7">
        <f t="shared" si="8"/>
        <v>3</v>
      </c>
      <c r="N69" s="7">
        <f t="shared" si="9"/>
        <v>2</v>
      </c>
      <c r="O69" s="7">
        <f t="shared" si="7"/>
        <v>5</v>
      </c>
      <c r="P69" s="19" t="s">
        <v>135</v>
      </c>
      <c r="Q69" s="24" t="s">
        <v>732</v>
      </c>
      <c r="R69" s="19" t="s">
        <v>10</v>
      </c>
    </row>
    <row r="70" spans="1:18" ht="120" x14ac:dyDescent="0.25">
      <c r="A70" s="7">
        <v>84</v>
      </c>
      <c r="B70" s="7" t="s">
        <v>122</v>
      </c>
      <c r="C70" s="8" t="s">
        <v>10</v>
      </c>
      <c r="D70" s="20" t="s">
        <v>440</v>
      </c>
      <c r="E70" s="20">
        <v>501</v>
      </c>
      <c r="F70" s="8" t="s">
        <v>191</v>
      </c>
      <c r="G70" s="7" t="s">
        <v>527</v>
      </c>
      <c r="H70" s="7" t="s">
        <v>22</v>
      </c>
      <c r="I70" s="7">
        <f>VLOOKUP(H70,cardsort_group_IDs!A:B,2,0)</f>
        <v>202</v>
      </c>
      <c r="J70" s="7" t="s">
        <v>122</v>
      </c>
      <c r="K70" s="7">
        <f>VLOOKUP(J70,cardsort_subgroup_IDs!A:B,2,0)</f>
        <v>324</v>
      </c>
      <c r="L70" s="7">
        <f t="shared" si="6"/>
        <v>3</v>
      </c>
      <c r="M70" s="7">
        <f t="shared" si="8"/>
        <v>1</v>
      </c>
      <c r="N70" s="7">
        <f t="shared" si="9"/>
        <v>1</v>
      </c>
      <c r="O70" s="7">
        <f t="shared" si="7"/>
        <v>2</v>
      </c>
      <c r="P70" s="19" t="s">
        <v>626</v>
      </c>
      <c r="Q70" s="24" t="s">
        <v>732</v>
      </c>
      <c r="R70" s="19" t="s">
        <v>10</v>
      </c>
    </row>
    <row r="71" spans="1:18" ht="60" x14ac:dyDescent="0.25">
      <c r="A71" s="7">
        <v>85</v>
      </c>
      <c r="B71" s="7" t="s">
        <v>192</v>
      </c>
      <c r="C71" s="8" t="s">
        <v>10</v>
      </c>
      <c r="D71" s="19" t="s">
        <v>465</v>
      </c>
      <c r="E71" s="20" t="s">
        <v>10</v>
      </c>
      <c r="F71" s="8" t="s">
        <v>193</v>
      </c>
      <c r="G71" s="7" t="s">
        <v>527</v>
      </c>
      <c r="H71" s="7" t="s">
        <v>16</v>
      </c>
      <c r="I71" s="7">
        <f>VLOOKUP(H71,cardsort_group_IDs!A:B,2,0)</f>
        <v>204</v>
      </c>
      <c r="J71" s="7" t="s">
        <v>29</v>
      </c>
      <c r="K71" s="7">
        <f>VLOOKUP(J71,cardsort_subgroup_IDs!A:B,2,0)</f>
        <v>306</v>
      </c>
      <c r="L71" s="7">
        <f t="shared" si="6"/>
        <v>2</v>
      </c>
      <c r="M71" s="7">
        <f t="shared" si="8"/>
        <v>1</v>
      </c>
      <c r="N71" s="7">
        <f t="shared" si="9"/>
        <v>0</v>
      </c>
      <c r="O71" s="7">
        <f t="shared" si="7"/>
        <v>1</v>
      </c>
      <c r="P71" s="19" t="s">
        <v>626</v>
      </c>
      <c r="Q71" s="24" t="s">
        <v>731</v>
      </c>
      <c r="R71" s="19" t="s">
        <v>10</v>
      </c>
    </row>
    <row r="72" spans="1:18" ht="135" x14ac:dyDescent="0.25">
      <c r="A72" s="7">
        <v>87</v>
      </c>
      <c r="B72" s="7" t="s">
        <v>194</v>
      </c>
      <c r="C72" s="8" t="s">
        <v>10</v>
      </c>
      <c r="D72" s="19" t="s">
        <v>439</v>
      </c>
      <c r="E72" s="20" t="s">
        <v>556</v>
      </c>
      <c r="F72" s="8" t="s">
        <v>195</v>
      </c>
      <c r="G72" s="7" t="s">
        <v>527</v>
      </c>
      <c r="H72" s="7" t="s">
        <v>16</v>
      </c>
      <c r="I72" s="7">
        <f>VLOOKUP(H72,cardsort_group_IDs!A:B,2,0)</f>
        <v>204</v>
      </c>
      <c r="J72" s="7" t="s">
        <v>29</v>
      </c>
      <c r="K72" s="7">
        <f>VLOOKUP(J72,cardsort_subgroup_IDs!A:B,2,0)</f>
        <v>306</v>
      </c>
      <c r="L72" s="7">
        <f t="shared" si="6"/>
        <v>3</v>
      </c>
      <c r="M72" s="7">
        <f t="shared" si="8"/>
        <v>1</v>
      </c>
      <c r="N72" s="7">
        <f t="shared" si="9"/>
        <v>2</v>
      </c>
      <c r="O72" s="7">
        <f t="shared" si="7"/>
        <v>3</v>
      </c>
      <c r="P72" s="19" t="s">
        <v>626</v>
      </c>
      <c r="Q72" s="24" t="s">
        <v>732</v>
      </c>
      <c r="R72" s="19" t="s">
        <v>10</v>
      </c>
    </row>
    <row r="73" spans="1:18" ht="105" x14ac:dyDescent="0.25">
      <c r="A73" s="7">
        <v>88</v>
      </c>
      <c r="B73" s="7" t="s">
        <v>196</v>
      </c>
      <c r="C73" s="8" t="s">
        <v>311</v>
      </c>
      <c r="D73" s="17" t="s">
        <v>534</v>
      </c>
      <c r="E73" s="20" t="s">
        <v>431</v>
      </c>
      <c r="F73" s="8" t="s">
        <v>197</v>
      </c>
      <c r="G73" s="7" t="s">
        <v>527</v>
      </c>
      <c r="H73" s="7" t="s">
        <v>37</v>
      </c>
      <c r="I73" s="7">
        <f>VLOOKUP(H73,cardsort_group_IDs!A:B,2,0)</f>
        <v>205</v>
      </c>
      <c r="J73" s="7" t="s">
        <v>89</v>
      </c>
      <c r="K73" s="7">
        <f>VLOOKUP(J73,cardsort_subgroup_IDs!A:B,2,0)</f>
        <v>319</v>
      </c>
      <c r="L73" s="7">
        <f t="shared" si="6"/>
        <v>3</v>
      </c>
      <c r="M73" s="7">
        <f t="shared" si="8"/>
        <v>1</v>
      </c>
      <c r="N73" s="7">
        <f t="shared" si="9"/>
        <v>2</v>
      </c>
      <c r="O73" s="7">
        <f t="shared" si="7"/>
        <v>3</v>
      </c>
      <c r="P73" s="19" t="s">
        <v>626</v>
      </c>
      <c r="Q73" s="24" t="s">
        <v>733</v>
      </c>
      <c r="R73" s="19" t="s">
        <v>10</v>
      </c>
    </row>
    <row r="74" spans="1:18" ht="60" x14ac:dyDescent="0.25">
      <c r="A74" s="7">
        <v>89</v>
      </c>
      <c r="B74" s="7" t="s">
        <v>198</v>
      </c>
      <c r="C74" s="8" t="s">
        <v>10</v>
      </c>
      <c r="D74" s="19" t="s">
        <v>456</v>
      </c>
      <c r="E74" s="20" t="s">
        <v>455</v>
      </c>
      <c r="F74" s="8" t="s">
        <v>199</v>
      </c>
      <c r="G74" s="7" t="s">
        <v>527</v>
      </c>
      <c r="H74" s="7" t="s">
        <v>37</v>
      </c>
      <c r="I74" s="7">
        <f>VLOOKUP(H74,cardsort_group_IDs!A:B,2,0)</f>
        <v>205</v>
      </c>
      <c r="J74" s="7" t="s">
        <v>89</v>
      </c>
      <c r="K74" s="7">
        <f>VLOOKUP(J74,cardsort_subgroup_IDs!A:B,2,0)</f>
        <v>319</v>
      </c>
      <c r="L74" s="7">
        <f t="shared" si="6"/>
        <v>3</v>
      </c>
      <c r="M74" s="7">
        <f t="shared" si="8"/>
        <v>2</v>
      </c>
      <c r="N74" s="7">
        <f t="shared" si="9"/>
        <v>2</v>
      </c>
      <c r="O74" s="7">
        <f t="shared" si="7"/>
        <v>4</v>
      </c>
      <c r="P74" s="19" t="s">
        <v>626</v>
      </c>
      <c r="Q74" s="24" t="s">
        <v>732</v>
      </c>
      <c r="R74" s="19" t="s">
        <v>10</v>
      </c>
    </row>
    <row r="75" spans="1:18" ht="105" x14ac:dyDescent="0.25">
      <c r="A75" s="7">
        <v>90</v>
      </c>
      <c r="B75" s="7" t="s">
        <v>200</v>
      </c>
      <c r="C75" s="8" t="s">
        <v>658</v>
      </c>
      <c r="D75" s="19" t="s">
        <v>659</v>
      </c>
      <c r="E75" s="20" t="s">
        <v>691</v>
      </c>
      <c r="F75" s="8" t="s">
        <v>201</v>
      </c>
      <c r="G75" s="7" t="s">
        <v>528</v>
      </c>
      <c r="H75" s="7" t="s">
        <v>37</v>
      </c>
      <c r="I75" s="7">
        <f>VLOOKUP(H75,cardsort_group_IDs!A:B,2,0)</f>
        <v>205</v>
      </c>
      <c r="J75" s="7" t="s">
        <v>89</v>
      </c>
      <c r="K75" s="7">
        <f>VLOOKUP(J75,cardsort_subgroup_IDs!A:B,2,0)</f>
        <v>319</v>
      </c>
      <c r="L75" s="7">
        <f t="shared" si="6"/>
        <v>3</v>
      </c>
      <c r="M75" s="7">
        <f t="shared" si="8"/>
        <v>4</v>
      </c>
      <c r="N75" s="7">
        <f t="shared" si="9"/>
        <v>10</v>
      </c>
      <c r="O75" s="7">
        <f t="shared" si="7"/>
        <v>14</v>
      </c>
      <c r="P75" s="19" t="s">
        <v>135</v>
      </c>
      <c r="Q75" s="24" t="s">
        <v>733</v>
      </c>
      <c r="R75" s="19" t="s">
        <v>10</v>
      </c>
    </row>
    <row r="76" spans="1:18" ht="75" x14ac:dyDescent="0.25">
      <c r="A76" s="7">
        <v>91</v>
      </c>
      <c r="B76" s="7" t="s">
        <v>202</v>
      </c>
      <c r="C76" s="8" t="s">
        <v>292</v>
      </c>
      <c r="D76" s="19" t="s">
        <v>439</v>
      </c>
      <c r="E76" s="20" t="s">
        <v>553</v>
      </c>
      <c r="F76" s="8" t="s">
        <v>203</v>
      </c>
      <c r="G76" s="7" t="s">
        <v>528</v>
      </c>
      <c r="H76" s="7" t="s">
        <v>16</v>
      </c>
      <c r="I76" s="7">
        <f>VLOOKUP(H76,cardsort_group_IDs!A:B,2,0)</f>
        <v>204</v>
      </c>
      <c r="J76" s="7" t="s">
        <v>95</v>
      </c>
      <c r="K76" s="7">
        <f>VLOOKUP(J76,cardsort_subgroup_IDs!A:B,2,0)</f>
        <v>320</v>
      </c>
      <c r="L76" s="7">
        <f t="shared" si="6"/>
        <v>3</v>
      </c>
      <c r="M76" s="7">
        <f t="shared" si="8"/>
        <v>1</v>
      </c>
      <c r="N76" s="7">
        <f t="shared" si="9"/>
        <v>3</v>
      </c>
      <c r="O76" s="7">
        <f t="shared" si="7"/>
        <v>4</v>
      </c>
      <c r="P76" s="19" t="s">
        <v>626</v>
      </c>
      <c r="Q76" s="24" t="s">
        <v>733</v>
      </c>
      <c r="R76" s="19" t="s">
        <v>10</v>
      </c>
    </row>
    <row r="77" spans="1:18" ht="30" x14ac:dyDescent="0.25">
      <c r="A77" s="7">
        <v>92</v>
      </c>
      <c r="B77" s="8" t="s">
        <v>204</v>
      </c>
      <c r="C77" s="8" t="s">
        <v>10</v>
      </c>
      <c r="D77" s="19" t="s">
        <v>444</v>
      </c>
      <c r="E77" s="20" t="s">
        <v>446</v>
      </c>
      <c r="F77" s="10" t="s">
        <v>205</v>
      </c>
      <c r="G77" s="7" t="s">
        <v>528</v>
      </c>
      <c r="H77" s="7" t="s">
        <v>53</v>
      </c>
      <c r="I77" s="7">
        <f>VLOOKUP(H77,cardsort_group_IDs!A:B,2,0)</f>
        <v>206</v>
      </c>
      <c r="J77" s="7" t="s">
        <v>128</v>
      </c>
      <c r="K77" s="7">
        <f>VLOOKUP(J77,cardsort_subgroup_IDs!A:B,2,0)</f>
        <v>326</v>
      </c>
      <c r="L77" s="7">
        <f t="shared" si="6"/>
        <v>3</v>
      </c>
      <c r="M77" s="7">
        <f t="shared" si="8"/>
        <v>1</v>
      </c>
      <c r="N77" s="7">
        <f t="shared" si="9"/>
        <v>2</v>
      </c>
      <c r="O77" s="7">
        <f t="shared" si="7"/>
        <v>3</v>
      </c>
      <c r="P77" s="19" t="s">
        <v>626</v>
      </c>
      <c r="Q77" s="24" t="s">
        <v>733</v>
      </c>
      <c r="R77" s="19" t="s">
        <v>10</v>
      </c>
    </row>
    <row r="78" spans="1:18" ht="45" x14ac:dyDescent="0.25">
      <c r="A78" s="7">
        <v>93</v>
      </c>
      <c r="B78" s="14" t="s">
        <v>206</v>
      </c>
      <c r="C78" s="10" t="s">
        <v>10</v>
      </c>
      <c r="D78" s="19" t="s">
        <v>10</v>
      </c>
      <c r="E78" s="20">
        <v>509</v>
      </c>
      <c r="F78" s="8" t="s">
        <v>207</v>
      </c>
      <c r="G78" s="7" t="s">
        <v>527</v>
      </c>
      <c r="H78" s="7" t="s">
        <v>11</v>
      </c>
      <c r="I78" s="7">
        <f>VLOOKUP(H78,cardsort_group_IDs!A:B,2,0)</f>
        <v>201</v>
      </c>
      <c r="J78" s="7" t="s">
        <v>18</v>
      </c>
      <c r="K78" s="7">
        <f>VLOOKUP(J78,cardsort_subgroup_IDs!A:B,2,0)</f>
        <v>302</v>
      </c>
      <c r="L78" s="7">
        <f t="shared" si="6"/>
        <v>1</v>
      </c>
      <c r="M78" s="7">
        <f t="shared" si="8"/>
        <v>0</v>
      </c>
      <c r="N78" s="7">
        <f t="shared" si="9"/>
        <v>1</v>
      </c>
      <c r="O78" s="7">
        <f t="shared" si="7"/>
        <v>1</v>
      </c>
      <c r="P78" s="19" t="s">
        <v>626</v>
      </c>
      <c r="Q78" s="24" t="s">
        <v>732</v>
      </c>
      <c r="R78" s="19" t="s">
        <v>10</v>
      </c>
    </row>
    <row r="79" spans="1:18" x14ac:dyDescent="0.25">
      <c r="A79" s="7">
        <v>94</v>
      </c>
      <c r="B79" s="7" t="s">
        <v>208</v>
      </c>
      <c r="C79" s="8" t="s">
        <v>293</v>
      </c>
      <c r="D79" s="19" t="s">
        <v>458</v>
      </c>
      <c r="E79" s="20" t="s">
        <v>457</v>
      </c>
      <c r="F79" s="8" t="s">
        <v>209</v>
      </c>
      <c r="G79" s="7" t="s">
        <v>527</v>
      </c>
      <c r="H79" s="7" t="s">
        <v>76</v>
      </c>
      <c r="I79" s="7">
        <f>VLOOKUP(H79,cardsort_group_IDs!A:B,2,0)</f>
        <v>208</v>
      </c>
      <c r="J79" s="7" t="s">
        <v>85</v>
      </c>
      <c r="K79" s="7">
        <f>VLOOKUP(J79,cardsort_subgroup_IDs!A:B,2,0)</f>
        <v>318</v>
      </c>
      <c r="L79" s="7">
        <f t="shared" si="6"/>
        <v>3</v>
      </c>
      <c r="M79" s="7">
        <f t="shared" si="8"/>
        <v>2</v>
      </c>
      <c r="N79" s="7">
        <f t="shared" si="9"/>
        <v>2</v>
      </c>
      <c r="O79" s="7">
        <f t="shared" si="7"/>
        <v>4</v>
      </c>
      <c r="P79" s="19" t="s">
        <v>626</v>
      </c>
      <c r="Q79" s="24" t="s">
        <v>732</v>
      </c>
      <c r="R79" s="19" t="s">
        <v>10</v>
      </c>
    </row>
    <row r="80" spans="1:18" ht="45" x14ac:dyDescent="0.25">
      <c r="A80" s="7">
        <v>95</v>
      </c>
      <c r="B80" s="7" t="s">
        <v>210</v>
      </c>
      <c r="C80" s="8" t="s">
        <v>211</v>
      </c>
      <c r="D80" s="20" t="s">
        <v>440</v>
      </c>
      <c r="E80" s="20" t="s">
        <v>583</v>
      </c>
      <c r="F80" s="8" t="s">
        <v>212</v>
      </c>
      <c r="G80" s="7" t="s">
        <v>527</v>
      </c>
      <c r="H80" s="7" t="s">
        <v>22</v>
      </c>
      <c r="I80" s="7">
        <f>VLOOKUP(H80,cardsort_group_IDs!A:B,2,0)</f>
        <v>202</v>
      </c>
      <c r="J80" s="7" t="s">
        <v>169</v>
      </c>
      <c r="K80" s="7">
        <f>VLOOKUP(J80,cardsort_subgroup_IDs!A:B,2,0)</f>
        <v>304</v>
      </c>
      <c r="L80" s="7">
        <f t="shared" si="6"/>
        <v>3</v>
      </c>
      <c r="M80" s="7">
        <f t="shared" si="8"/>
        <v>1</v>
      </c>
      <c r="N80" s="7">
        <f t="shared" si="9"/>
        <v>2</v>
      </c>
      <c r="O80" s="7">
        <f t="shared" si="7"/>
        <v>3</v>
      </c>
      <c r="P80" s="19" t="s">
        <v>626</v>
      </c>
      <c r="Q80" s="24" t="s">
        <v>733</v>
      </c>
      <c r="R80" s="19" t="s">
        <v>10</v>
      </c>
    </row>
    <row r="81" spans="1:18" ht="30" x14ac:dyDescent="0.25">
      <c r="A81" s="7">
        <v>97</v>
      </c>
      <c r="B81" s="7" t="s">
        <v>213</v>
      </c>
      <c r="C81" s="8" t="s">
        <v>10</v>
      </c>
      <c r="D81" s="19" t="s">
        <v>10</v>
      </c>
      <c r="E81" s="20">
        <v>508</v>
      </c>
      <c r="F81" s="8" t="s">
        <v>214</v>
      </c>
      <c r="G81" s="7" t="s">
        <v>527</v>
      </c>
      <c r="H81" s="7" t="s">
        <v>22</v>
      </c>
      <c r="I81" s="7">
        <f>VLOOKUP(H81,cardsort_group_IDs!A:B,2,0)</f>
        <v>202</v>
      </c>
      <c r="J81" s="7" t="s">
        <v>122</v>
      </c>
      <c r="K81" s="7">
        <f>VLOOKUP(J81,cardsort_subgroup_IDs!A:B,2,0)</f>
        <v>324</v>
      </c>
      <c r="L81" s="7">
        <f t="shared" si="6"/>
        <v>1</v>
      </c>
      <c r="M81" s="7">
        <f t="shared" si="8"/>
        <v>0</v>
      </c>
      <c r="N81" s="7">
        <f t="shared" si="9"/>
        <v>1</v>
      </c>
      <c r="O81" s="7">
        <f t="shared" si="7"/>
        <v>1</v>
      </c>
      <c r="P81" s="19" t="s">
        <v>626</v>
      </c>
      <c r="Q81" s="24" t="s">
        <v>733</v>
      </c>
      <c r="R81" s="19" t="s">
        <v>10</v>
      </c>
    </row>
    <row r="82" spans="1:18" ht="30" x14ac:dyDescent="0.25">
      <c r="A82" s="7">
        <v>98</v>
      </c>
      <c r="B82" s="7" t="s">
        <v>215</v>
      </c>
      <c r="C82" s="8" t="s">
        <v>294</v>
      </c>
      <c r="D82" s="17">
        <v>209</v>
      </c>
      <c r="E82" s="20">
        <v>506</v>
      </c>
      <c r="F82" s="8" t="s">
        <v>216</v>
      </c>
      <c r="G82" s="7" t="s">
        <v>527</v>
      </c>
      <c r="H82" s="7" t="s">
        <v>11</v>
      </c>
      <c r="I82" s="7">
        <f>VLOOKUP(H82,cardsort_group_IDs!A:B,2,0)</f>
        <v>201</v>
      </c>
      <c r="J82" s="7" t="s">
        <v>166</v>
      </c>
      <c r="K82" s="7">
        <f>VLOOKUP(J82,cardsort_subgroup_IDs!A:B,2,0)</f>
        <v>329</v>
      </c>
      <c r="L82" s="7">
        <f t="shared" si="6"/>
        <v>3</v>
      </c>
      <c r="M82" s="7">
        <f t="shared" si="8"/>
        <v>1</v>
      </c>
      <c r="N82" s="7">
        <f t="shared" si="9"/>
        <v>1</v>
      </c>
      <c r="O82" s="7">
        <f t="shared" si="7"/>
        <v>2</v>
      </c>
      <c r="P82" s="19" t="s">
        <v>626</v>
      </c>
      <c r="Q82" s="24" t="s">
        <v>732</v>
      </c>
      <c r="R82" s="19" t="s">
        <v>10</v>
      </c>
    </row>
    <row r="83" spans="1:18" x14ac:dyDescent="0.25">
      <c r="A83" s="7">
        <v>99</v>
      </c>
      <c r="B83" s="7" t="s">
        <v>217</v>
      </c>
      <c r="C83" s="8" t="s">
        <v>10</v>
      </c>
      <c r="D83" s="19" t="s">
        <v>10</v>
      </c>
      <c r="E83" s="20">
        <v>508</v>
      </c>
      <c r="F83" s="8" t="s">
        <v>218</v>
      </c>
      <c r="G83" s="7" t="s">
        <v>527</v>
      </c>
      <c r="H83" s="7" t="s">
        <v>11</v>
      </c>
      <c r="I83" s="7">
        <f>VLOOKUP(H83,cardsort_group_IDs!A:B,2,0)</f>
        <v>201</v>
      </c>
      <c r="J83" s="7" t="s">
        <v>122</v>
      </c>
      <c r="K83" s="7">
        <f>VLOOKUP(J83,cardsort_subgroup_IDs!A:B,2,0)</f>
        <v>324</v>
      </c>
      <c r="L83" s="7">
        <f t="shared" si="6"/>
        <v>1</v>
      </c>
      <c r="M83" s="7">
        <f t="shared" si="8"/>
        <v>0</v>
      </c>
      <c r="N83" s="7">
        <f t="shared" si="9"/>
        <v>1</v>
      </c>
      <c r="O83" s="7">
        <f t="shared" si="7"/>
        <v>1</v>
      </c>
      <c r="P83" s="19" t="s">
        <v>626</v>
      </c>
      <c r="Q83" s="24" t="s">
        <v>732</v>
      </c>
      <c r="R83" s="19" t="s">
        <v>10</v>
      </c>
    </row>
    <row r="84" spans="1:18" ht="30" x14ac:dyDescent="0.25">
      <c r="A84" s="7">
        <v>100</v>
      </c>
      <c r="B84" s="7" t="s">
        <v>219</v>
      </c>
      <c r="C84" s="8" t="s">
        <v>10</v>
      </c>
      <c r="D84" s="19" t="s">
        <v>10</v>
      </c>
      <c r="E84" s="20">
        <v>509</v>
      </c>
      <c r="F84" s="8" t="s">
        <v>220</v>
      </c>
      <c r="G84" s="7" t="s">
        <v>527</v>
      </c>
      <c r="H84" s="7" t="s">
        <v>11</v>
      </c>
      <c r="I84" s="7">
        <f>VLOOKUP(H84,cardsort_group_IDs!A:B,2,0)</f>
        <v>201</v>
      </c>
      <c r="J84" s="7" t="s">
        <v>122</v>
      </c>
      <c r="K84" s="7">
        <f>VLOOKUP(J84,cardsort_subgroup_IDs!A:B,2,0)</f>
        <v>324</v>
      </c>
      <c r="L84" s="7">
        <f t="shared" si="6"/>
        <v>1</v>
      </c>
      <c r="M84" s="7">
        <f t="shared" si="8"/>
        <v>0</v>
      </c>
      <c r="N84" s="7">
        <f t="shared" si="9"/>
        <v>1</v>
      </c>
      <c r="O84" s="7">
        <f t="shared" si="7"/>
        <v>1</v>
      </c>
      <c r="P84" s="19" t="s">
        <v>626</v>
      </c>
      <c r="Q84" s="24" t="s">
        <v>732</v>
      </c>
      <c r="R84" s="19" t="s">
        <v>10</v>
      </c>
    </row>
    <row r="85" spans="1:18" ht="30" x14ac:dyDescent="0.25">
      <c r="A85" s="7">
        <v>102</v>
      </c>
      <c r="B85" s="7" t="s">
        <v>221</v>
      </c>
      <c r="C85" s="8" t="s">
        <v>10</v>
      </c>
      <c r="D85" s="19" t="s">
        <v>439</v>
      </c>
      <c r="E85" s="20">
        <v>501</v>
      </c>
      <c r="F85" s="8" t="s">
        <v>223</v>
      </c>
      <c r="G85" s="7" t="s">
        <v>527</v>
      </c>
      <c r="H85" s="7" t="s">
        <v>16</v>
      </c>
      <c r="I85" s="7">
        <f>VLOOKUP(H85,cardsort_group_IDs!A:B,2,0)</f>
        <v>204</v>
      </c>
      <c r="J85" s="7" t="s">
        <v>95</v>
      </c>
      <c r="K85" s="7">
        <f>VLOOKUP(J85,cardsort_subgroup_IDs!A:B,2,0)</f>
        <v>320</v>
      </c>
      <c r="L85" s="7">
        <f t="shared" si="6"/>
        <v>3</v>
      </c>
      <c r="M85" s="7">
        <f t="shared" si="8"/>
        <v>1</v>
      </c>
      <c r="N85" s="7">
        <f t="shared" si="9"/>
        <v>1</v>
      </c>
      <c r="O85" s="7">
        <f t="shared" si="7"/>
        <v>2</v>
      </c>
      <c r="P85" s="19" t="s">
        <v>626</v>
      </c>
      <c r="Q85" s="24" t="s">
        <v>731</v>
      </c>
      <c r="R85" s="19" t="s">
        <v>10</v>
      </c>
    </row>
    <row r="86" spans="1:18" ht="105" x14ac:dyDescent="0.25">
      <c r="A86" s="7">
        <v>104</v>
      </c>
      <c r="B86" s="7" t="s">
        <v>224</v>
      </c>
      <c r="C86" s="8" t="s">
        <v>225</v>
      </c>
      <c r="D86" s="19" t="s">
        <v>442</v>
      </c>
      <c r="E86" s="20" t="s">
        <v>10</v>
      </c>
      <c r="F86" s="8" t="s">
        <v>226</v>
      </c>
      <c r="G86" s="7" t="s">
        <v>528</v>
      </c>
      <c r="H86" s="7" t="s">
        <v>529</v>
      </c>
      <c r="I86" s="7">
        <f>VLOOKUP(H86,cardsort_group_IDs!A:B,2,0)</f>
        <v>203</v>
      </c>
      <c r="J86" s="7" t="s">
        <v>103</v>
      </c>
      <c r="K86" s="7">
        <f>VLOOKUP(J86,cardsort_subgroup_IDs!A:B,2,0)</f>
        <v>322</v>
      </c>
      <c r="L86" s="7">
        <f t="shared" si="6"/>
        <v>2</v>
      </c>
      <c r="M86" s="7">
        <f t="shared" si="8"/>
        <v>2</v>
      </c>
      <c r="N86" s="7">
        <f t="shared" si="9"/>
        <v>0</v>
      </c>
      <c r="O86" s="7">
        <f t="shared" si="7"/>
        <v>2</v>
      </c>
      <c r="P86" s="19" t="s">
        <v>626</v>
      </c>
      <c r="Q86" s="24" t="s">
        <v>731</v>
      </c>
      <c r="R86" s="19" t="s">
        <v>10</v>
      </c>
    </row>
    <row r="87" spans="1:18" ht="30" x14ac:dyDescent="0.25">
      <c r="A87" s="7">
        <v>105</v>
      </c>
      <c r="B87" s="8" t="s">
        <v>227</v>
      </c>
      <c r="C87" s="8" t="s">
        <v>295</v>
      </c>
      <c r="D87" s="20" t="s">
        <v>554</v>
      </c>
      <c r="E87" s="20" t="s">
        <v>555</v>
      </c>
      <c r="F87" s="8" t="s">
        <v>228</v>
      </c>
      <c r="G87" s="7" t="s">
        <v>527</v>
      </c>
      <c r="H87" s="7" t="s">
        <v>22</v>
      </c>
      <c r="I87" s="7">
        <f>VLOOKUP(H87,cardsort_group_IDs!A:B,2,0)</f>
        <v>202</v>
      </c>
      <c r="J87" s="7" t="s">
        <v>122</v>
      </c>
      <c r="K87" s="7">
        <f>VLOOKUP(J87,cardsort_subgroup_IDs!A:B,2,0)</f>
        <v>324</v>
      </c>
      <c r="L87" s="7">
        <f t="shared" si="6"/>
        <v>3</v>
      </c>
      <c r="M87" s="7">
        <f t="shared" si="8"/>
        <v>2</v>
      </c>
      <c r="N87" s="7">
        <f t="shared" si="9"/>
        <v>2</v>
      </c>
      <c r="O87" s="7">
        <f t="shared" si="7"/>
        <v>4</v>
      </c>
      <c r="P87" s="19" t="s">
        <v>626</v>
      </c>
      <c r="Q87" s="24" t="s">
        <v>733</v>
      </c>
      <c r="R87" s="19" t="s">
        <v>10</v>
      </c>
    </row>
    <row r="88" spans="1:18" ht="180" x14ac:dyDescent="0.25">
      <c r="A88" s="7">
        <v>107</v>
      </c>
      <c r="B88" s="7" t="s">
        <v>229</v>
      </c>
      <c r="C88" s="8" t="s">
        <v>10</v>
      </c>
      <c r="D88" s="19" t="s">
        <v>538</v>
      </c>
      <c r="E88" s="20" t="s">
        <v>539</v>
      </c>
      <c r="F88" s="8" t="s">
        <v>230</v>
      </c>
      <c r="G88" s="7" t="s">
        <v>527</v>
      </c>
      <c r="H88" s="7" t="s">
        <v>16</v>
      </c>
      <c r="I88" s="7">
        <f>VLOOKUP(H88,cardsort_group_IDs!A:B,2,0)</f>
        <v>204</v>
      </c>
      <c r="J88" s="7" t="s">
        <v>29</v>
      </c>
      <c r="K88" s="7">
        <f>VLOOKUP(J88,cardsort_subgroup_IDs!A:B,2,0)</f>
        <v>306</v>
      </c>
      <c r="L88" s="7">
        <f t="shared" si="6"/>
        <v>3</v>
      </c>
      <c r="M88" s="7">
        <f t="shared" si="8"/>
        <v>2</v>
      </c>
      <c r="N88" s="7">
        <f t="shared" si="9"/>
        <v>5</v>
      </c>
      <c r="O88" s="7">
        <f t="shared" si="7"/>
        <v>7</v>
      </c>
      <c r="P88" s="19" t="s">
        <v>626</v>
      </c>
      <c r="Q88" s="24" t="s">
        <v>732</v>
      </c>
      <c r="R88" s="19" t="s">
        <v>10</v>
      </c>
    </row>
    <row r="89" spans="1:18" ht="45" x14ac:dyDescent="0.25">
      <c r="A89" s="7">
        <v>108</v>
      </c>
      <c r="B89" s="7" t="s">
        <v>231</v>
      </c>
      <c r="C89" s="8" t="s">
        <v>296</v>
      </c>
      <c r="D89" s="19" t="s">
        <v>562</v>
      </c>
      <c r="E89" s="20" t="s">
        <v>563</v>
      </c>
      <c r="F89" s="8" t="s">
        <v>232</v>
      </c>
      <c r="G89" s="7" t="s">
        <v>527</v>
      </c>
      <c r="H89" s="7" t="s">
        <v>16</v>
      </c>
      <c r="I89" s="7">
        <f>VLOOKUP(H89,cardsort_group_IDs!A:B,2,0)</f>
        <v>204</v>
      </c>
      <c r="J89" s="7" t="s">
        <v>17</v>
      </c>
      <c r="K89" s="7">
        <f>VLOOKUP(J89,cardsort_subgroup_IDs!A:B,2,0)</f>
        <v>327</v>
      </c>
      <c r="L89" s="7">
        <f t="shared" si="6"/>
        <v>3</v>
      </c>
      <c r="M89" s="7">
        <f t="shared" si="8"/>
        <v>4</v>
      </c>
      <c r="N89" s="7">
        <f t="shared" si="9"/>
        <v>4</v>
      </c>
      <c r="O89" s="7">
        <f t="shared" si="7"/>
        <v>8</v>
      </c>
      <c r="P89" s="19" t="s">
        <v>626</v>
      </c>
      <c r="Q89" s="24" t="s">
        <v>732</v>
      </c>
      <c r="R89" s="19" t="s">
        <v>10</v>
      </c>
    </row>
    <row r="90" spans="1:18" ht="75" x14ac:dyDescent="0.25">
      <c r="A90" s="7">
        <v>109</v>
      </c>
      <c r="B90" s="7" t="s">
        <v>233</v>
      </c>
      <c r="C90" s="8" t="s">
        <v>572</v>
      </c>
      <c r="D90" s="20" t="s">
        <v>573</v>
      </c>
      <c r="E90" s="20" t="s">
        <v>459</v>
      </c>
      <c r="F90" s="8" t="s">
        <v>234</v>
      </c>
      <c r="G90" s="7" t="s">
        <v>527</v>
      </c>
      <c r="H90" s="7" t="s">
        <v>22</v>
      </c>
      <c r="I90" s="7">
        <f>VLOOKUP(H90,cardsort_group_IDs!A:B,2,0)</f>
        <v>202</v>
      </c>
      <c r="J90" s="7" t="s">
        <v>169</v>
      </c>
      <c r="K90" s="7">
        <f>VLOOKUP(J90,cardsort_subgroup_IDs!A:B,2,0)</f>
        <v>304</v>
      </c>
      <c r="L90" s="7">
        <f t="shared" si="6"/>
        <v>3</v>
      </c>
      <c r="M90" s="7">
        <f t="shared" si="8"/>
        <v>5</v>
      </c>
      <c r="N90" s="7">
        <f t="shared" si="9"/>
        <v>3</v>
      </c>
      <c r="O90" s="7">
        <f t="shared" si="7"/>
        <v>8</v>
      </c>
      <c r="P90" s="19" t="s">
        <v>626</v>
      </c>
      <c r="Q90" s="24" t="s">
        <v>733</v>
      </c>
      <c r="R90" s="19" t="s">
        <v>10</v>
      </c>
    </row>
    <row r="91" spans="1:18" ht="105" x14ac:dyDescent="0.25">
      <c r="A91" s="7">
        <v>112</v>
      </c>
      <c r="B91" s="7" t="s">
        <v>235</v>
      </c>
      <c r="C91" s="8" t="s">
        <v>708</v>
      </c>
      <c r="D91" s="19" t="s">
        <v>10</v>
      </c>
      <c r="E91" s="20" t="s">
        <v>707</v>
      </c>
      <c r="F91" s="10" t="s">
        <v>236</v>
      </c>
      <c r="G91" s="7" t="s">
        <v>528</v>
      </c>
      <c r="H91" s="7" t="s">
        <v>529</v>
      </c>
      <c r="I91" s="7">
        <f>VLOOKUP(H91,cardsort_group_IDs!A:B,2,0)</f>
        <v>203</v>
      </c>
      <c r="J91" s="7" t="s">
        <v>144</v>
      </c>
      <c r="K91" s="7">
        <f>VLOOKUP(J91,cardsort_subgroup_IDs!A:B,2,0)</f>
        <v>328</v>
      </c>
      <c r="L91" s="7">
        <f t="shared" si="6"/>
        <v>1</v>
      </c>
      <c r="M91" s="7">
        <f t="shared" si="8"/>
        <v>0</v>
      </c>
      <c r="N91" s="7">
        <f t="shared" si="9"/>
        <v>2</v>
      </c>
      <c r="O91" s="7">
        <f t="shared" si="7"/>
        <v>2</v>
      </c>
      <c r="P91" s="19" t="s">
        <v>135</v>
      </c>
      <c r="Q91" s="24" t="s">
        <v>732</v>
      </c>
      <c r="R91" s="19" t="s">
        <v>10</v>
      </c>
    </row>
    <row r="92" spans="1:18" ht="135" x14ac:dyDescent="0.25">
      <c r="A92" s="7">
        <v>114</v>
      </c>
      <c r="B92" s="7" t="s">
        <v>238</v>
      </c>
      <c r="C92" s="8" t="s">
        <v>312</v>
      </c>
      <c r="D92" s="17" t="s">
        <v>561</v>
      </c>
      <c r="E92" s="20" t="s">
        <v>701</v>
      </c>
      <c r="F92" s="8" t="s">
        <v>239</v>
      </c>
      <c r="G92" s="7" t="s">
        <v>527</v>
      </c>
      <c r="H92" s="7" t="s">
        <v>58</v>
      </c>
      <c r="I92" s="7">
        <f>VLOOKUP(H92,cardsort_group_IDs!A:B,2,0)</f>
        <v>207</v>
      </c>
      <c r="J92" s="7" t="s">
        <v>59</v>
      </c>
      <c r="K92" s="7">
        <f>VLOOKUP(J92,cardsort_subgroup_IDs!A:B,2,0)</f>
        <v>312</v>
      </c>
      <c r="L92" s="7">
        <f t="shared" si="6"/>
        <v>3</v>
      </c>
      <c r="M92" s="7">
        <f t="shared" si="8"/>
        <v>1</v>
      </c>
      <c r="N92" s="7">
        <f t="shared" si="9"/>
        <v>13</v>
      </c>
      <c r="O92" s="7">
        <f t="shared" si="7"/>
        <v>14</v>
      </c>
      <c r="P92" s="19" t="s">
        <v>135</v>
      </c>
      <c r="Q92" s="24" t="s">
        <v>732</v>
      </c>
      <c r="R92" s="19" t="s">
        <v>10</v>
      </c>
    </row>
    <row r="93" spans="1:18" ht="30" x14ac:dyDescent="0.25">
      <c r="A93" s="7">
        <v>115</v>
      </c>
      <c r="B93" s="7" t="s">
        <v>240</v>
      </c>
      <c r="C93" s="8" t="s">
        <v>10</v>
      </c>
      <c r="D93" s="19" t="s">
        <v>10</v>
      </c>
      <c r="E93" s="20">
        <v>183</v>
      </c>
      <c r="F93" s="8" t="s">
        <v>241</v>
      </c>
      <c r="G93" s="7" t="s">
        <v>527</v>
      </c>
      <c r="H93" s="7" t="s">
        <v>53</v>
      </c>
      <c r="I93" s="7">
        <f>VLOOKUP(H93,cardsort_group_IDs!A:B,2,0)</f>
        <v>206</v>
      </c>
      <c r="J93" s="7" t="s">
        <v>128</v>
      </c>
      <c r="K93" s="7">
        <f>VLOOKUP(J93,cardsort_subgroup_IDs!A:B,2,0)</f>
        <v>326</v>
      </c>
      <c r="L93" s="7">
        <f t="shared" si="6"/>
        <v>1</v>
      </c>
      <c r="M93" s="7">
        <f t="shared" si="8"/>
        <v>0</v>
      </c>
      <c r="N93" s="7">
        <f t="shared" si="9"/>
        <v>1</v>
      </c>
      <c r="O93" s="7">
        <f t="shared" si="7"/>
        <v>1</v>
      </c>
      <c r="P93" s="19" t="s">
        <v>626</v>
      </c>
      <c r="Q93" s="24" t="s">
        <v>732</v>
      </c>
      <c r="R93" s="19" t="s">
        <v>10</v>
      </c>
    </row>
    <row r="94" spans="1:18" ht="75" x14ac:dyDescent="0.25">
      <c r="A94" s="7">
        <v>116</v>
      </c>
      <c r="B94" s="7" t="s">
        <v>242</v>
      </c>
      <c r="C94" s="8" t="s">
        <v>297</v>
      </c>
      <c r="D94" s="19" t="s">
        <v>461</v>
      </c>
      <c r="E94" s="20" t="s">
        <v>460</v>
      </c>
      <c r="F94" s="8" t="s">
        <v>243</v>
      </c>
      <c r="G94" s="7" t="s">
        <v>528</v>
      </c>
      <c r="H94" s="7" t="s">
        <v>37</v>
      </c>
      <c r="I94" s="7">
        <f>VLOOKUP(H94,cardsort_group_IDs!A:B,2,0)</f>
        <v>205</v>
      </c>
      <c r="J94" s="7" t="s">
        <v>244</v>
      </c>
      <c r="K94" s="7">
        <f>VLOOKUP(J94,cardsort_subgroup_IDs!A:B,2,0)</f>
        <v>331</v>
      </c>
      <c r="L94" s="7">
        <f t="shared" si="6"/>
        <v>3</v>
      </c>
      <c r="M94" s="7">
        <f t="shared" si="8"/>
        <v>2</v>
      </c>
      <c r="N94" s="7">
        <f t="shared" si="9"/>
        <v>2</v>
      </c>
      <c r="O94" s="7">
        <f t="shared" si="7"/>
        <v>4</v>
      </c>
      <c r="P94" s="19" t="s">
        <v>626</v>
      </c>
      <c r="Q94" s="24" t="s">
        <v>733</v>
      </c>
      <c r="R94" s="19" t="s">
        <v>10</v>
      </c>
    </row>
    <row r="95" spans="1:18" ht="45" x14ac:dyDescent="0.25">
      <c r="A95" s="7">
        <v>117</v>
      </c>
      <c r="B95" s="7" t="s">
        <v>42</v>
      </c>
      <c r="C95" s="8" t="s">
        <v>605</v>
      </c>
      <c r="D95" s="19" t="s">
        <v>464</v>
      </c>
      <c r="E95" s="20" t="s">
        <v>462</v>
      </c>
      <c r="F95" s="8" t="s">
        <v>245</v>
      </c>
      <c r="G95" s="7" t="s">
        <v>527</v>
      </c>
      <c r="H95" s="7" t="s">
        <v>37</v>
      </c>
      <c r="I95" s="7">
        <f>VLOOKUP(H95,cardsort_group_IDs!A:B,2,0)</f>
        <v>205</v>
      </c>
      <c r="J95" s="7" t="s">
        <v>42</v>
      </c>
      <c r="K95" s="7">
        <f>VLOOKUP(J95,cardsort_subgroup_IDs!A:B,2,0)</f>
        <v>309</v>
      </c>
      <c r="L95" s="7">
        <f t="shared" si="6"/>
        <v>3</v>
      </c>
      <c r="M95" s="7">
        <f t="shared" si="8"/>
        <v>1</v>
      </c>
      <c r="N95" s="7">
        <f t="shared" si="9"/>
        <v>4</v>
      </c>
      <c r="O95" s="7">
        <f t="shared" si="7"/>
        <v>5</v>
      </c>
      <c r="P95" s="19" t="s">
        <v>135</v>
      </c>
      <c r="Q95" s="24" t="s">
        <v>733</v>
      </c>
      <c r="R95" s="19" t="s">
        <v>10</v>
      </c>
    </row>
    <row r="96" spans="1:18" ht="30" x14ac:dyDescent="0.25">
      <c r="A96" s="7">
        <v>118</v>
      </c>
      <c r="B96" s="7" t="s">
        <v>246</v>
      </c>
      <c r="C96" s="8" t="s">
        <v>10</v>
      </c>
      <c r="D96" s="20">
        <v>201</v>
      </c>
      <c r="E96" s="20" t="s">
        <v>10</v>
      </c>
      <c r="F96" s="8" t="s">
        <v>247</v>
      </c>
      <c r="G96" s="7" t="s">
        <v>527</v>
      </c>
      <c r="H96" s="7" t="s">
        <v>22</v>
      </c>
      <c r="I96" s="7">
        <f>VLOOKUP(H96,cardsort_group_IDs!A:B,2,0)</f>
        <v>202</v>
      </c>
      <c r="J96" s="7" t="s">
        <v>248</v>
      </c>
      <c r="K96" s="7">
        <f>VLOOKUP(J96,cardsort_subgroup_IDs!A:B,2,0)</f>
        <v>332</v>
      </c>
      <c r="L96" s="7">
        <f t="shared" si="6"/>
        <v>2</v>
      </c>
      <c r="M96" s="7">
        <f t="shared" si="8"/>
        <v>1</v>
      </c>
      <c r="N96" s="7">
        <f t="shared" si="9"/>
        <v>0</v>
      </c>
      <c r="O96" s="7">
        <f t="shared" si="7"/>
        <v>1</v>
      </c>
      <c r="P96" s="19" t="s">
        <v>626</v>
      </c>
      <c r="Q96" s="24" t="s">
        <v>731</v>
      </c>
      <c r="R96" s="19" t="s">
        <v>10</v>
      </c>
    </row>
    <row r="97" spans="1:18" ht="30" x14ac:dyDescent="0.25">
      <c r="A97" s="7">
        <v>119</v>
      </c>
      <c r="B97" s="7" t="s">
        <v>249</v>
      </c>
      <c r="C97" s="8" t="s">
        <v>10</v>
      </c>
      <c r="D97" s="19" t="s">
        <v>439</v>
      </c>
      <c r="E97" s="20">
        <v>501</v>
      </c>
      <c r="F97" s="8" t="s">
        <v>250</v>
      </c>
      <c r="G97" s="7" t="s">
        <v>527</v>
      </c>
      <c r="H97" s="7" t="s">
        <v>16</v>
      </c>
      <c r="I97" s="7">
        <f>VLOOKUP(H97,cardsort_group_IDs!A:B,2,0)</f>
        <v>204</v>
      </c>
      <c r="J97" s="7" t="s">
        <v>29</v>
      </c>
      <c r="K97" s="7">
        <f>VLOOKUP(J97,cardsort_subgroup_IDs!A:B,2,0)</f>
        <v>306</v>
      </c>
      <c r="L97" s="7">
        <f t="shared" si="6"/>
        <v>3</v>
      </c>
      <c r="M97" s="7">
        <f t="shared" si="8"/>
        <v>1</v>
      </c>
      <c r="N97" s="7">
        <f t="shared" si="9"/>
        <v>1</v>
      </c>
      <c r="O97" s="7">
        <f t="shared" si="7"/>
        <v>2</v>
      </c>
      <c r="P97" s="19" t="s">
        <v>626</v>
      </c>
      <c r="Q97" s="24" t="s">
        <v>732</v>
      </c>
      <c r="R97" s="19" t="s">
        <v>10</v>
      </c>
    </row>
    <row r="98" spans="1:18" x14ac:dyDescent="0.25">
      <c r="A98" s="7">
        <v>120</v>
      </c>
      <c r="B98" s="7" t="s">
        <v>251</v>
      </c>
      <c r="C98" s="8" t="s">
        <v>10</v>
      </c>
      <c r="D98" s="19" t="s">
        <v>444</v>
      </c>
      <c r="E98" s="20" t="s">
        <v>446</v>
      </c>
      <c r="F98" s="10" t="s">
        <v>252</v>
      </c>
      <c r="G98" s="7" t="s">
        <v>527</v>
      </c>
      <c r="H98" s="7" t="s">
        <v>16</v>
      </c>
      <c r="I98" s="7">
        <f>VLOOKUP(H98,cardsort_group_IDs!A:B,2,0)</f>
        <v>204</v>
      </c>
      <c r="J98" s="7" t="s">
        <v>29</v>
      </c>
      <c r="K98" s="7">
        <f>VLOOKUP(J98,cardsort_subgroup_IDs!A:B,2,0)</f>
        <v>306</v>
      </c>
      <c r="L98" s="7">
        <f t="shared" si="6"/>
        <v>3</v>
      </c>
      <c r="M98" s="7">
        <f t="shared" ref="M98:M127" si="10">IF(D98="-",0,LEN(D98)-LEN(SUBSTITUTE(D98,";",""))+1)</f>
        <v>1</v>
      </c>
      <c r="N98" s="7">
        <f t="shared" ref="N98:N127" si="11">IF(E98="-",0,LEN(E98)-LEN(SUBSTITUTE(E98,";",""))+1)</f>
        <v>2</v>
      </c>
      <c r="O98" s="7">
        <f t="shared" si="7"/>
        <v>3</v>
      </c>
      <c r="P98" s="19" t="s">
        <v>626</v>
      </c>
      <c r="Q98" s="24" t="s">
        <v>732</v>
      </c>
      <c r="R98" s="19" t="s">
        <v>10</v>
      </c>
    </row>
    <row r="99" spans="1:18" ht="60" x14ac:dyDescent="0.25">
      <c r="A99" s="7">
        <v>121</v>
      </c>
      <c r="B99" s="7" t="s">
        <v>253</v>
      </c>
      <c r="C99" s="8" t="s">
        <v>313</v>
      </c>
      <c r="D99" s="19" t="s">
        <v>670</v>
      </c>
      <c r="E99" s="20" t="s">
        <v>450</v>
      </c>
      <c r="F99" s="8" t="s">
        <v>254</v>
      </c>
      <c r="G99" s="7" t="s">
        <v>527</v>
      </c>
      <c r="H99" s="7" t="s">
        <v>16</v>
      </c>
      <c r="I99" s="7">
        <f>VLOOKUP(H99,cardsort_group_IDs!A:B,2,0)</f>
        <v>204</v>
      </c>
      <c r="J99" s="7" t="s">
        <v>29</v>
      </c>
      <c r="K99" s="7">
        <f>VLOOKUP(J99,cardsort_subgroup_IDs!A:B,2,0)</f>
        <v>306</v>
      </c>
      <c r="L99" s="7">
        <f t="shared" si="6"/>
        <v>3</v>
      </c>
      <c r="M99" s="7">
        <f t="shared" si="10"/>
        <v>4</v>
      </c>
      <c r="N99" s="7">
        <f t="shared" si="11"/>
        <v>4</v>
      </c>
      <c r="O99" s="7">
        <f t="shared" si="7"/>
        <v>8</v>
      </c>
      <c r="P99" s="19" t="s">
        <v>135</v>
      </c>
      <c r="Q99" s="24" t="s">
        <v>732</v>
      </c>
      <c r="R99" s="19" t="s">
        <v>10</v>
      </c>
    </row>
    <row r="100" spans="1:18" ht="45" x14ac:dyDescent="0.25">
      <c r="A100" s="7">
        <v>122</v>
      </c>
      <c r="B100" s="7" t="s">
        <v>255</v>
      </c>
      <c r="C100" s="8" t="s">
        <v>668</v>
      </c>
      <c r="D100" s="17" t="s">
        <v>669</v>
      </c>
      <c r="E100" s="20" t="s">
        <v>564</v>
      </c>
      <c r="F100" s="8" t="s">
        <v>256</v>
      </c>
      <c r="G100" s="7" t="s">
        <v>527</v>
      </c>
      <c r="H100" s="7" t="s">
        <v>16</v>
      </c>
      <c r="I100" s="7">
        <f>VLOOKUP(H100,cardsort_group_IDs!A:B,2,0)</f>
        <v>204</v>
      </c>
      <c r="J100" s="7" t="s">
        <v>29</v>
      </c>
      <c r="K100" s="7">
        <f>VLOOKUP(J100,cardsort_subgroup_IDs!A:B,2,0)</f>
        <v>306</v>
      </c>
      <c r="L100" s="7">
        <f t="shared" si="6"/>
        <v>3</v>
      </c>
      <c r="M100" s="7">
        <f t="shared" si="10"/>
        <v>2</v>
      </c>
      <c r="N100" s="7">
        <f t="shared" si="11"/>
        <v>3</v>
      </c>
      <c r="O100" s="7">
        <f t="shared" si="7"/>
        <v>5</v>
      </c>
      <c r="P100" s="19" t="s">
        <v>135</v>
      </c>
      <c r="Q100" s="24" t="s">
        <v>732</v>
      </c>
      <c r="R100" s="19" t="s">
        <v>10</v>
      </c>
    </row>
    <row r="101" spans="1:18" ht="75" x14ac:dyDescent="0.25">
      <c r="A101" s="7">
        <v>124</v>
      </c>
      <c r="B101" s="7" t="s">
        <v>257</v>
      </c>
      <c r="C101" s="8" t="s">
        <v>258</v>
      </c>
      <c r="D101" s="19" t="s">
        <v>540</v>
      </c>
      <c r="E101" s="20" t="s">
        <v>541</v>
      </c>
      <c r="F101" s="8" t="s">
        <v>259</v>
      </c>
      <c r="G101" s="7" t="s">
        <v>527</v>
      </c>
      <c r="H101" s="7" t="s">
        <v>529</v>
      </c>
      <c r="I101" s="7">
        <f>VLOOKUP(H101,cardsort_group_IDs!A:B,2,0)</f>
        <v>203</v>
      </c>
      <c r="J101" s="7" t="s">
        <v>118</v>
      </c>
      <c r="K101" s="7">
        <f>VLOOKUP(J101,cardsort_subgroup_IDs!A:B,2,0)</f>
        <v>323</v>
      </c>
      <c r="L101" s="7">
        <f t="shared" si="6"/>
        <v>3</v>
      </c>
      <c r="M101" s="7">
        <f t="shared" si="10"/>
        <v>3</v>
      </c>
      <c r="N101" s="7">
        <f t="shared" si="11"/>
        <v>4</v>
      </c>
      <c r="O101" s="7">
        <f t="shared" si="7"/>
        <v>7</v>
      </c>
      <c r="P101" s="19" t="s">
        <v>626</v>
      </c>
      <c r="Q101" s="24" t="s">
        <v>731</v>
      </c>
      <c r="R101" s="19" t="s">
        <v>10</v>
      </c>
    </row>
    <row r="102" spans="1:18" ht="45" x14ac:dyDescent="0.25">
      <c r="A102" s="7">
        <v>126</v>
      </c>
      <c r="B102" s="8" t="s">
        <v>260</v>
      </c>
      <c r="C102" s="8" t="s">
        <v>10</v>
      </c>
      <c r="D102" s="19" t="s">
        <v>441</v>
      </c>
      <c r="E102" s="20">
        <v>501</v>
      </c>
      <c r="F102" s="8" t="s">
        <v>262</v>
      </c>
      <c r="G102" s="7" t="s">
        <v>527</v>
      </c>
      <c r="H102" s="7" t="s">
        <v>58</v>
      </c>
      <c r="I102" s="7">
        <f>VLOOKUP(H102,cardsort_group_IDs!A:B,2,0)</f>
        <v>207</v>
      </c>
      <c r="J102" s="7" t="s">
        <v>59</v>
      </c>
      <c r="K102" s="7">
        <f>VLOOKUP(J102,cardsort_subgroup_IDs!A:B,2,0)</f>
        <v>312</v>
      </c>
      <c r="L102" s="7">
        <f t="shared" si="6"/>
        <v>3</v>
      </c>
      <c r="M102" s="7">
        <f t="shared" si="10"/>
        <v>1</v>
      </c>
      <c r="N102" s="7">
        <f t="shared" si="11"/>
        <v>1</v>
      </c>
      <c r="O102" s="7">
        <f t="shared" si="7"/>
        <v>2</v>
      </c>
      <c r="P102" s="19" t="s">
        <v>626</v>
      </c>
      <c r="Q102" s="24" t="s">
        <v>732</v>
      </c>
      <c r="R102" s="19" t="s">
        <v>10</v>
      </c>
    </row>
    <row r="103" spans="1:18" ht="30" x14ac:dyDescent="0.25">
      <c r="A103" s="7">
        <v>127</v>
      </c>
      <c r="B103" s="8" t="s">
        <v>263</v>
      </c>
      <c r="C103" s="8" t="s">
        <v>298</v>
      </c>
      <c r="D103" s="19" t="s">
        <v>445</v>
      </c>
      <c r="E103" s="20" t="s">
        <v>299</v>
      </c>
      <c r="F103" s="10" t="s">
        <v>265</v>
      </c>
      <c r="G103" s="7" t="s">
        <v>527</v>
      </c>
      <c r="H103" s="7" t="s">
        <v>58</v>
      </c>
      <c r="I103" s="7">
        <f>VLOOKUP(H103,cardsort_group_IDs!A:B,2,0)</f>
        <v>207</v>
      </c>
      <c r="J103" s="7" t="s">
        <v>59</v>
      </c>
      <c r="K103" s="7">
        <f>VLOOKUP(J103,cardsort_subgroup_IDs!A:B,2,0)</f>
        <v>312</v>
      </c>
      <c r="L103" s="7">
        <f t="shared" si="6"/>
        <v>3</v>
      </c>
      <c r="M103" s="7">
        <f t="shared" si="10"/>
        <v>1</v>
      </c>
      <c r="N103" s="7">
        <f t="shared" si="11"/>
        <v>2</v>
      </c>
      <c r="O103" s="7">
        <f t="shared" si="7"/>
        <v>3</v>
      </c>
      <c r="P103" s="19" t="s">
        <v>626</v>
      </c>
      <c r="Q103" s="24" t="s">
        <v>732</v>
      </c>
      <c r="R103" s="19" t="s">
        <v>10</v>
      </c>
    </row>
    <row r="104" spans="1:18" ht="30" x14ac:dyDescent="0.25">
      <c r="A104" s="7">
        <v>128</v>
      </c>
      <c r="B104" s="8" t="s">
        <v>266</v>
      </c>
      <c r="C104" s="8" t="s">
        <v>10</v>
      </c>
      <c r="D104" s="19" t="s">
        <v>445</v>
      </c>
      <c r="E104" s="20">
        <v>501</v>
      </c>
      <c r="F104" s="10" t="s">
        <v>267</v>
      </c>
      <c r="G104" s="7" t="s">
        <v>527</v>
      </c>
      <c r="H104" s="7" t="s">
        <v>58</v>
      </c>
      <c r="I104" s="7">
        <f>VLOOKUP(H104,cardsort_group_IDs!A:B,2,0)</f>
        <v>207</v>
      </c>
      <c r="J104" s="7" t="s">
        <v>59</v>
      </c>
      <c r="K104" s="7">
        <f>VLOOKUP(J104,cardsort_subgroup_IDs!A:B,2,0)</f>
        <v>312</v>
      </c>
      <c r="L104" s="7">
        <f t="shared" si="6"/>
        <v>3</v>
      </c>
      <c r="M104" s="7">
        <f t="shared" si="10"/>
        <v>1</v>
      </c>
      <c r="N104" s="7">
        <f t="shared" si="11"/>
        <v>1</v>
      </c>
      <c r="O104" s="7">
        <f t="shared" si="7"/>
        <v>2</v>
      </c>
      <c r="P104" s="19" t="s">
        <v>626</v>
      </c>
      <c r="Q104" s="24" t="s">
        <v>732</v>
      </c>
      <c r="R104" s="19" t="s">
        <v>10</v>
      </c>
    </row>
    <row r="105" spans="1:18" ht="60" x14ac:dyDescent="0.25">
      <c r="A105" s="7">
        <v>129</v>
      </c>
      <c r="B105" s="8" t="s">
        <v>651</v>
      </c>
      <c r="C105" s="8" t="s">
        <v>300</v>
      </c>
      <c r="D105" s="19" t="s">
        <v>653</v>
      </c>
      <c r="E105" s="20" t="s">
        <v>689</v>
      </c>
      <c r="F105" s="8" t="s">
        <v>652</v>
      </c>
      <c r="G105" s="7" t="s">
        <v>527</v>
      </c>
      <c r="H105" s="7" t="s">
        <v>58</v>
      </c>
      <c r="I105" s="7">
        <f>VLOOKUP(H105,cardsort_group_IDs!A:B,2,0)</f>
        <v>207</v>
      </c>
      <c r="J105" s="7" t="s">
        <v>59</v>
      </c>
      <c r="K105" s="7">
        <f>VLOOKUP(J105,cardsort_subgroup_IDs!A:B,2,0)</f>
        <v>312</v>
      </c>
      <c r="L105" s="7">
        <f t="shared" si="6"/>
        <v>3</v>
      </c>
      <c r="M105" s="7">
        <f t="shared" si="10"/>
        <v>16</v>
      </c>
      <c r="N105" s="7">
        <f t="shared" si="11"/>
        <v>11</v>
      </c>
      <c r="O105" s="7">
        <f t="shared" si="7"/>
        <v>27</v>
      </c>
      <c r="P105" s="19" t="s">
        <v>135</v>
      </c>
      <c r="Q105" s="24" t="s">
        <v>732</v>
      </c>
      <c r="R105" s="19" t="s">
        <v>10</v>
      </c>
    </row>
    <row r="106" spans="1:18" ht="135" x14ac:dyDescent="0.25">
      <c r="A106" s="7">
        <v>130</v>
      </c>
      <c r="B106" s="7" t="s">
        <v>268</v>
      </c>
      <c r="C106" s="8" t="s">
        <v>10</v>
      </c>
      <c r="D106" s="19" t="s">
        <v>542</v>
      </c>
      <c r="E106" s="20" t="s">
        <v>543</v>
      </c>
      <c r="F106" s="8" t="s">
        <v>269</v>
      </c>
      <c r="G106" s="7" t="s">
        <v>527</v>
      </c>
      <c r="H106" s="7" t="s">
        <v>529</v>
      </c>
      <c r="I106" s="7">
        <f>VLOOKUP(H106,cardsort_group_IDs!A:B,2,0)</f>
        <v>203</v>
      </c>
      <c r="J106" s="8" t="s">
        <v>62</v>
      </c>
      <c r="K106" s="7">
        <f>VLOOKUP(J106,cardsort_subgroup_IDs!A:B,2,0)</f>
        <v>313</v>
      </c>
      <c r="L106" s="7">
        <f t="shared" si="6"/>
        <v>3</v>
      </c>
      <c r="M106" s="7">
        <f t="shared" si="10"/>
        <v>2</v>
      </c>
      <c r="N106" s="7">
        <f t="shared" si="11"/>
        <v>3</v>
      </c>
      <c r="O106" s="7">
        <f t="shared" si="7"/>
        <v>5</v>
      </c>
      <c r="P106" s="19" t="s">
        <v>626</v>
      </c>
      <c r="Q106" s="24" t="s">
        <v>731</v>
      </c>
      <c r="R106" s="19" t="s">
        <v>10</v>
      </c>
    </row>
    <row r="107" spans="1:18" ht="90" x14ac:dyDescent="0.25">
      <c r="A107" s="7">
        <v>134</v>
      </c>
      <c r="B107" s="8" t="s">
        <v>301</v>
      </c>
      <c r="C107" s="8" t="s">
        <v>302</v>
      </c>
      <c r="D107" s="17" t="s">
        <v>681</v>
      </c>
      <c r="E107" s="21" t="s">
        <v>565</v>
      </c>
      <c r="F107" s="8" t="s">
        <v>520</v>
      </c>
      <c r="G107" t="s">
        <v>527</v>
      </c>
      <c r="H107" t="s">
        <v>37</v>
      </c>
      <c r="I107" s="7">
        <f>VLOOKUP(H107,cardsort_group_IDs!A:B,2,0)</f>
        <v>205</v>
      </c>
      <c r="J107" t="s">
        <v>89</v>
      </c>
      <c r="K107" s="7">
        <f>VLOOKUP(J107,cardsort_subgroup_IDs!A:B,2,0)</f>
        <v>319</v>
      </c>
      <c r="L107" s="7">
        <f t="shared" si="6"/>
        <v>3</v>
      </c>
      <c r="M107" s="7">
        <f t="shared" si="10"/>
        <v>2</v>
      </c>
      <c r="N107" s="7">
        <f t="shared" si="11"/>
        <v>9</v>
      </c>
      <c r="O107" s="7">
        <f t="shared" si="7"/>
        <v>11</v>
      </c>
      <c r="P107" s="19" t="s">
        <v>135</v>
      </c>
      <c r="Q107" s="24" t="s">
        <v>733</v>
      </c>
      <c r="R107" s="19" t="s">
        <v>10</v>
      </c>
    </row>
    <row r="108" spans="1:18" ht="30" x14ac:dyDescent="0.25">
      <c r="A108" s="7">
        <v>135</v>
      </c>
      <c r="B108" s="8" t="s">
        <v>303</v>
      </c>
      <c r="C108" s="8" t="s">
        <v>10</v>
      </c>
      <c r="D108" s="19" t="s">
        <v>10</v>
      </c>
      <c r="E108" s="21">
        <v>183</v>
      </c>
      <c r="F108" s="8" t="s">
        <v>522</v>
      </c>
      <c r="G108" t="s">
        <v>528</v>
      </c>
      <c r="H108" t="s">
        <v>529</v>
      </c>
      <c r="I108" s="7">
        <f>VLOOKUP(H108,cardsort_group_IDs!A:B,2,0)</f>
        <v>203</v>
      </c>
      <c r="J108" t="s">
        <v>144</v>
      </c>
      <c r="K108" s="7">
        <f>VLOOKUP(J108,cardsort_subgroup_IDs!A:B,2,0)</f>
        <v>328</v>
      </c>
      <c r="L108" s="7">
        <f t="shared" si="6"/>
        <v>1</v>
      </c>
      <c r="M108" s="7">
        <f t="shared" si="10"/>
        <v>0</v>
      </c>
      <c r="N108" s="7">
        <f t="shared" si="11"/>
        <v>1</v>
      </c>
      <c r="O108" s="7">
        <f t="shared" si="7"/>
        <v>1</v>
      </c>
      <c r="P108" s="19" t="s">
        <v>626</v>
      </c>
      <c r="Q108" s="24" t="s">
        <v>731</v>
      </c>
      <c r="R108" s="19" t="s">
        <v>10</v>
      </c>
    </row>
    <row r="109" spans="1:18" ht="45" x14ac:dyDescent="0.25">
      <c r="A109" s="7">
        <v>136</v>
      </c>
      <c r="B109" s="8" t="s">
        <v>521</v>
      </c>
      <c r="C109" s="8" t="s">
        <v>10</v>
      </c>
      <c r="D109" s="19" t="s">
        <v>10</v>
      </c>
      <c r="E109" s="21">
        <v>240</v>
      </c>
      <c r="F109" s="8" t="s">
        <v>523</v>
      </c>
      <c r="G109" t="s">
        <v>527</v>
      </c>
      <c r="H109" t="s">
        <v>58</v>
      </c>
      <c r="I109" s="7">
        <f>VLOOKUP(H109,cardsort_group_IDs!A:B,2,0)</f>
        <v>207</v>
      </c>
      <c r="J109" t="s">
        <v>59</v>
      </c>
      <c r="K109" s="7">
        <f>VLOOKUP(J109,cardsort_subgroup_IDs!A:B,2,0)</f>
        <v>312</v>
      </c>
      <c r="L109" s="7">
        <f t="shared" si="6"/>
        <v>1</v>
      </c>
      <c r="M109" s="7">
        <f t="shared" si="10"/>
        <v>0</v>
      </c>
      <c r="N109" s="7">
        <f t="shared" si="11"/>
        <v>1</v>
      </c>
      <c r="O109" s="7">
        <f t="shared" si="7"/>
        <v>1</v>
      </c>
      <c r="P109" s="19" t="s">
        <v>626</v>
      </c>
      <c r="Q109" s="24" t="s">
        <v>731</v>
      </c>
      <c r="R109" s="19" t="s">
        <v>10</v>
      </c>
    </row>
    <row r="110" spans="1:18" ht="45" x14ac:dyDescent="0.25">
      <c r="A110" s="7">
        <v>137</v>
      </c>
      <c r="B110" s="8" t="s">
        <v>304</v>
      </c>
      <c r="C110" s="8" t="s">
        <v>305</v>
      </c>
      <c r="D110" s="19" t="s">
        <v>10</v>
      </c>
      <c r="E110" s="21" t="s">
        <v>306</v>
      </c>
      <c r="F110" s="8" t="s">
        <v>524</v>
      </c>
      <c r="G110" t="s">
        <v>528</v>
      </c>
      <c r="H110" t="s">
        <v>529</v>
      </c>
      <c r="I110" s="7">
        <f>VLOOKUP(H110,cardsort_group_IDs!A:B,2,0)</f>
        <v>203</v>
      </c>
      <c r="J110" t="s">
        <v>62</v>
      </c>
      <c r="K110" s="7">
        <f>VLOOKUP(J110,cardsort_subgroup_IDs!A:B,2,0)</f>
        <v>313</v>
      </c>
      <c r="L110" s="7">
        <f t="shared" si="6"/>
        <v>1</v>
      </c>
      <c r="M110" s="7">
        <f t="shared" si="10"/>
        <v>0</v>
      </c>
      <c r="N110" s="7">
        <f t="shared" si="11"/>
        <v>6</v>
      </c>
      <c r="O110" s="7">
        <f t="shared" si="7"/>
        <v>6</v>
      </c>
      <c r="P110" s="19" t="s">
        <v>626</v>
      </c>
      <c r="Q110" s="24" t="s">
        <v>733</v>
      </c>
      <c r="R110" s="19" t="s">
        <v>10</v>
      </c>
    </row>
    <row r="111" spans="1:18" x14ac:dyDescent="0.25">
      <c r="A111" s="7">
        <v>138</v>
      </c>
      <c r="B111" s="8" t="s">
        <v>307</v>
      </c>
      <c r="C111" s="8" t="s">
        <v>308</v>
      </c>
      <c r="D111" s="19" t="s">
        <v>10</v>
      </c>
      <c r="E111" s="21">
        <v>236</v>
      </c>
      <c r="F111" s="15" t="s">
        <v>519</v>
      </c>
      <c r="G111" t="s">
        <v>527</v>
      </c>
      <c r="H111" t="s">
        <v>11</v>
      </c>
      <c r="I111" s="7">
        <f>VLOOKUP(H111,cardsort_group_IDs!A:B,2,0)</f>
        <v>201</v>
      </c>
      <c r="J111" t="s">
        <v>18</v>
      </c>
      <c r="K111" s="7">
        <f>VLOOKUP(J111,cardsort_subgroup_IDs!A:B,2,0)</f>
        <v>302</v>
      </c>
      <c r="L111" s="7">
        <f t="shared" si="6"/>
        <v>1</v>
      </c>
      <c r="M111" s="7">
        <f t="shared" si="10"/>
        <v>0</v>
      </c>
      <c r="N111" s="7">
        <f t="shared" si="11"/>
        <v>1</v>
      </c>
      <c r="O111" s="7">
        <f t="shared" si="7"/>
        <v>1</v>
      </c>
      <c r="P111" s="19" t="s">
        <v>626</v>
      </c>
      <c r="Q111" s="24" t="s">
        <v>732</v>
      </c>
      <c r="R111" s="19" t="s">
        <v>10</v>
      </c>
    </row>
    <row r="112" spans="1:18" ht="60" x14ac:dyDescent="0.25">
      <c r="A112" s="7">
        <v>139</v>
      </c>
      <c r="B112" s="7" t="s">
        <v>574</v>
      </c>
      <c r="C112" s="8" t="s">
        <v>10</v>
      </c>
      <c r="D112" s="19">
        <v>510</v>
      </c>
      <c r="E112" s="20" t="s">
        <v>10</v>
      </c>
      <c r="F112" s="8" t="s">
        <v>575</v>
      </c>
      <c r="G112" s="7" t="s">
        <v>527</v>
      </c>
      <c r="H112" s="7" t="s">
        <v>22</v>
      </c>
      <c r="I112" s="7">
        <f>VLOOKUP(H112,cardsort_group_IDs!A:B,2,0)</f>
        <v>202</v>
      </c>
      <c r="J112" s="7" t="s">
        <v>169</v>
      </c>
      <c r="K112" s="7">
        <f>VLOOKUP(J112,cardsort_subgroup_IDs!A:B,2,0)</f>
        <v>304</v>
      </c>
      <c r="L112" s="7">
        <f t="shared" ref="L112" si="12">IF(E112="-",0,1)+IF(D112="-",0,2)</f>
        <v>2</v>
      </c>
      <c r="M112" s="7">
        <f t="shared" si="10"/>
        <v>1</v>
      </c>
      <c r="N112" s="7">
        <f t="shared" si="11"/>
        <v>0</v>
      </c>
      <c r="O112" s="7">
        <f t="shared" ref="O112" si="13">SUM(M112:N112)</f>
        <v>1</v>
      </c>
      <c r="P112" s="19" t="s">
        <v>626</v>
      </c>
      <c r="Q112" s="24" t="s">
        <v>733</v>
      </c>
      <c r="R112" s="19" t="s">
        <v>10</v>
      </c>
    </row>
    <row r="113" spans="1:18" ht="60" x14ac:dyDescent="0.25">
      <c r="A113" s="7">
        <v>140</v>
      </c>
      <c r="B113" s="7" t="s">
        <v>615</v>
      </c>
      <c r="C113" s="8" t="s">
        <v>646</v>
      </c>
      <c r="D113" s="19" t="s">
        <v>647</v>
      </c>
      <c r="E113" s="20" t="s">
        <v>684</v>
      </c>
      <c r="F113" s="7" t="s">
        <v>616</v>
      </c>
      <c r="G113" s="7" t="s">
        <v>527</v>
      </c>
      <c r="H113" s="7" t="s">
        <v>16</v>
      </c>
      <c r="I113" s="7">
        <f>VLOOKUP(H113,cardsort_group_IDs!A:B,2,0)</f>
        <v>204</v>
      </c>
      <c r="J113" s="7" t="s">
        <v>17</v>
      </c>
      <c r="K113" s="7">
        <f>VLOOKUP(J113,cardsort_subgroup_IDs!A:B,2,0)</f>
        <v>327</v>
      </c>
      <c r="L113" s="7">
        <f>IF(E113="-",0,1)+IF(D113="-",0,2)</f>
        <v>3</v>
      </c>
      <c r="M113" s="7">
        <f t="shared" si="10"/>
        <v>17</v>
      </c>
      <c r="N113" s="7">
        <f t="shared" si="11"/>
        <v>1</v>
      </c>
      <c r="O113" s="7">
        <f>SUM(M113:N113)</f>
        <v>18</v>
      </c>
      <c r="P113" s="19" t="s">
        <v>618</v>
      </c>
      <c r="Q113" s="24" t="s">
        <v>731</v>
      </c>
      <c r="R113" s="19">
        <v>2</v>
      </c>
    </row>
    <row r="114" spans="1:18" x14ac:dyDescent="0.25">
      <c r="A114" s="7">
        <v>141</v>
      </c>
      <c r="B114" s="7" t="s">
        <v>620</v>
      </c>
      <c r="C114" s="8" t="s">
        <v>10</v>
      </c>
      <c r="D114" s="19" t="s">
        <v>622</v>
      </c>
      <c r="E114" s="20" t="s">
        <v>684</v>
      </c>
      <c r="F114" s="7" t="s">
        <v>621</v>
      </c>
      <c r="G114" s="7" t="s">
        <v>527</v>
      </c>
      <c r="H114" s="7" t="s">
        <v>58</v>
      </c>
      <c r="I114" s="7">
        <f>VLOOKUP(H114,cardsort_group_IDs!A:B,2,0)</f>
        <v>207</v>
      </c>
      <c r="J114" s="7" t="s">
        <v>59</v>
      </c>
      <c r="K114" s="7">
        <f>VLOOKUP(J114,cardsort_subgroup_IDs!A:B,2,0)</f>
        <v>312</v>
      </c>
      <c r="L114" s="7">
        <f>IF(E114="-",0,1)+IF(D114="-",0,2)</f>
        <v>3</v>
      </c>
      <c r="M114" s="7">
        <f t="shared" si="10"/>
        <v>2</v>
      </c>
      <c r="N114" s="7">
        <f t="shared" si="11"/>
        <v>1</v>
      </c>
      <c r="O114" s="7">
        <f>SUM(M114:N114)</f>
        <v>3</v>
      </c>
      <c r="P114" s="19" t="s">
        <v>618</v>
      </c>
      <c r="Q114" s="24" t="s">
        <v>732</v>
      </c>
      <c r="R114" s="19">
        <v>129</v>
      </c>
    </row>
    <row r="115" spans="1:18" x14ac:dyDescent="0.25">
      <c r="A115" s="7">
        <v>142</v>
      </c>
      <c r="B115" s="7" t="s">
        <v>623</v>
      </c>
      <c r="C115" s="8" t="s">
        <v>10</v>
      </c>
      <c r="D115" s="19" t="s">
        <v>598</v>
      </c>
      <c r="E115" s="20" t="s">
        <v>684</v>
      </c>
      <c r="F115" s="7" t="s">
        <v>624</v>
      </c>
      <c r="G115" s="7" t="s">
        <v>527</v>
      </c>
      <c r="H115" s="7" t="s">
        <v>58</v>
      </c>
      <c r="I115" s="7">
        <f>VLOOKUP(H115,cardsort_group_IDs!A:B,2,0)</f>
        <v>207</v>
      </c>
      <c r="J115" s="7" t="s">
        <v>59</v>
      </c>
      <c r="K115" s="7">
        <f>VLOOKUP(J115,cardsort_subgroup_IDs!A:B,2,0)</f>
        <v>312</v>
      </c>
      <c r="L115" s="7">
        <f>IF(E115="-",0,1)+IF(D115="-",0,2)</f>
        <v>3</v>
      </c>
      <c r="M115" s="7">
        <f t="shared" si="10"/>
        <v>1</v>
      </c>
      <c r="N115" s="7">
        <f t="shared" si="11"/>
        <v>1</v>
      </c>
      <c r="O115" s="7">
        <f>SUM(M115:N115)</f>
        <v>2</v>
      </c>
      <c r="P115" s="19" t="s">
        <v>618</v>
      </c>
      <c r="Q115" s="24" t="s">
        <v>732</v>
      </c>
      <c r="R115" s="19">
        <v>19</v>
      </c>
    </row>
    <row r="116" spans="1:18" x14ac:dyDescent="0.25">
      <c r="A116" s="7">
        <v>143</v>
      </c>
      <c r="B116" s="7" t="s">
        <v>629</v>
      </c>
      <c r="C116" s="8" t="s">
        <v>10</v>
      </c>
      <c r="D116" s="19" t="s">
        <v>630</v>
      </c>
      <c r="E116" s="20" t="s">
        <v>10</v>
      </c>
      <c r="F116" s="7" t="s">
        <v>631</v>
      </c>
      <c r="G116" s="7" t="s">
        <v>527</v>
      </c>
      <c r="H116" s="7" t="s">
        <v>58</v>
      </c>
      <c r="I116" s="7">
        <f>VLOOKUP(H116,cardsort_group_IDs!A:B,2,0)</f>
        <v>207</v>
      </c>
      <c r="J116" s="7" t="s">
        <v>59</v>
      </c>
      <c r="K116" s="7">
        <f>VLOOKUP(J116,cardsort_subgroup_IDs!A:B,2,0)</f>
        <v>312</v>
      </c>
      <c r="L116" s="7">
        <f>IF(E116="-",0,1)+IF(D116="-",0,2)</f>
        <v>2</v>
      </c>
      <c r="M116" s="7">
        <f t="shared" si="10"/>
        <v>5</v>
      </c>
      <c r="N116" s="7">
        <f t="shared" si="11"/>
        <v>0</v>
      </c>
      <c r="O116" s="7">
        <f>SUM(M116:N116)</f>
        <v>5</v>
      </c>
      <c r="P116" s="19" t="s">
        <v>618</v>
      </c>
      <c r="Q116" s="24" t="s">
        <v>731</v>
      </c>
      <c r="R116" s="19" t="s">
        <v>10</v>
      </c>
    </row>
    <row r="117" spans="1:18" x14ac:dyDescent="0.25">
      <c r="A117" s="7">
        <v>144</v>
      </c>
      <c r="B117" t="s">
        <v>633</v>
      </c>
      <c r="C117" s="8" t="s">
        <v>10</v>
      </c>
      <c r="D117" s="17" t="s">
        <v>607</v>
      </c>
      <c r="E117" s="20" t="s">
        <v>10</v>
      </c>
      <c r="F117" s="7" t="s">
        <v>636</v>
      </c>
      <c r="G117" s="7" t="s">
        <v>527</v>
      </c>
      <c r="H117" s="7" t="s">
        <v>16</v>
      </c>
      <c r="I117" s="7">
        <f>VLOOKUP(H117,cardsort_group_IDs!A:B,2,0)</f>
        <v>204</v>
      </c>
      <c r="J117" s="7" t="s">
        <v>17</v>
      </c>
      <c r="K117" s="7">
        <f>VLOOKUP(J117,cardsort_subgroup_IDs!A:B,2,0)</f>
        <v>327</v>
      </c>
      <c r="L117" s="7">
        <f>IF(E117="-",0,1)+IF(D117="-",0,2)</f>
        <v>2</v>
      </c>
      <c r="M117" s="7">
        <f t="shared" si="10"/>
        <v>1</v>
      </c>
      <c r="N117" s="7">
        <f t="shared" si="11"/>
        <v>0</v>
      </c>
      <c r="O117" s="7">
        <f>SUM(M117:N117)</f>
        <v>1</v>
      </c>
      <c r="P117" s="19" t="s">
        <v>632</v>
      </c>
      <c r="Q117" s="24" t="s">
        <v>731</v>
      </c>
      <c r="R117" s="19" t="s">
        <v>638</v>
      </c>
    </row>
    <row r="118" spans="1:18" x14ac:dyDescent="0.25">
      <c r="A118" s="7">
        <v>145</v>
      </c>
      <c r="B118" s="7" t="s">
        <v>635</v>
      </c>
      <c r="C118" s="8" t="s">
        <v>10</v>
      </c>
      <c r="D118" s="17" t="s">
        <v>607</v>
      </c>
      <c r="E118" s="20" t="s">
        <v>10</v>
      </c>
      <c r="F118" s="7" t="s">
        <v>637</v>
      </c>
      <c r="G118" s="7" t="s">
        <v>527</v>
      </c>
      <c r="H118" t="s">
        <v>11</v>
      </c>
      <c r="I118" s="7">
        <f>VLOOKUP(H118,cardsort_group_IDs!A:B,2,0)</f>
        <v>201</v>
      </c>
      <c r="J118" t="s">
        <v>18</v>
      </c>
      <c r="K118" s="7">
        <f>VLOOKUP(J118,cardsort_subgroup_IDs!A:B,2,0)</f>
        <v>302</v>
      </c>
      <c r="L118" s="7">
        <f t="shared" ref="L118" si="14">IF(E118="-",0,1)+IF(D118="-",0,2)</f>
        <v>2</v>
      </c>
      <c r="M118" s="7">
        <f t="shared" si="10"/>
        <v>1</v>
      </c>
      <c r="N118" s="7">
        <f t="shared" si="11"/>
        <v>0</v>
      </c>
      <c r="O118" s="7">
        <f t="shared" ref="O118" si="15">SUM(M118:N118)</f>
        <v>1</v>
      </c>
      <c r="P118" s="19" t="s">
        <v>632</v>
      </c>
      <c r="Q118" s="24" t="s">
        <v>732</v>
      </c>
      <c r="R118" s="19" t="s">
        <v>638</v>
      </c>
    </row>
    <row r="119" spans="1:18" ht="30" x14ac:dyDescent="0.25">
      <c r="A119" s="7">
        <v>146</v>
      </c>
      <c r="B119" s="7" t="s">
        <v>634</v>
      </c>
      <c r="C119" s="8" t="s">
        <v>694</v>
      </c>
      <c r="D119" t="s">
        <v>639</v>
      </c>
      <c r="E119" s="20" t="s">
        <v>684</v>
      </c>
      <c r="F119" s="7" t="s">
        <v>641</v>
      </c>
      <c r="G119" s="7" t="s">
        <v>527</v>
      </c>
      <c r="H119" t="s">
        <v>11</v>
      </c>
      <c r="I119" s="7">
        <f>VLOOKUP(H119,cardsort_group_IDs!A:B,2,0)</f>
        <v>201</v>
      </c>
      <c r="J119" t="s">
        <v>18</v>
      </c>
      <c r="K119" s="7">
        <f>VLOOKUP(J119,cardsort_subgroup_IDs!A:B,2,0)</f>
        <v>302</v>
      </c>
      <c r="L119" s="7">
        <f t="shared" ref="L119" si="16">IF(E119="-",0,1)+IF(D119="-",0,2)</f>
        <v>3</v>
      </c>
      <c r="M119" s="7">
        <f t="shared" si="10"/>
        <v>5</v>
      </c>
      <c r="N119" s="7">
        <f t="shared" si="11"/>
        <v>1</v>
      </c>
      <c r="O119" s="7">
        <f t="shared" ref="O119:O121" si="17">SUM(M119:N119)</f>
        <v>6</v>
      </c>
      <c r="P119" s="19" t="s">
        <v>632</v>
      </c>
      <c r="Q119" s="24" t="s">
        <v>732</v>
      </c>
      <c r="R119" s="19" t="s">
        <v>640</v>
      </c>
    </row>
    <row r="120" spans="1:18" x14ac:dyDescent="0.25">
      <c r="A120" s="7">
        <v>147</v>
      </c>
      <c r="B120" s="7" t="s">
        <v>642</v>
      </c>
      <c r="C120" s="8" t="s">
        <v>10</v>
      </c>
      <c r="D120" s="17" t="s">
        <v>644</v>
      </c>
      <c r="E120" s="20" t="s">
        <v>10</v>
      </c>
      <c r="F120" s="7" t="s">
        <v>643</v>
      </c>
      <c r="G120" s="7" t="s">
        <v>527</v>
      </c>
      <c r="H120" s="7" t="s">
        <v>16</v>
      </c>
      <c r="I120" s="7">
        <f>VLOOKUP(H120,cardsort_group_IDs!A:B,2,0)</f>
        <v>204</v>
      </c>
      <c r="J120" s="7" t="s">
        <v>17</v>
      </c>
      <c r="K120" s="7">
        <f>VLOOKUP(J120,cardsort_subgroup_IDs!A:B,2,0)</f>
        <v>327</v>
      </c>
      <c r="L120" s="7">
        <f t="shared" ref="L120" si="18">IF(E120="-",0,1)+IF(D120="-",0,2)</f>
        <v>2</v>
      </c>
      <c r="M120" s="7">
        <f t="shared" si="10"/>
        <v>1</v>
      </c>
      <c r="N120" s="7">
        <f t="shared" si="11"/>
        <v>0</v>
      </c>
      <c r="O120" s="7">
        <f t="shared" si="17"/>
        <v>1</v>
      </c>
      <c r="P120" s="19" t="s">
        <v>618</v>
      </c>
      <c r="Q120" s="24" t="s">
        <v>733</v>
      </c>
      <c r="R120" s="19" t="s">
        <v>638</v>
      </c>
    </row>
    <row r="121" spans="1:18" x14ac:dyDescent="0.25">
      <c r="A121" s="7">
        <v>148</v>
      </c>
      <c r="B121" s="7" t="s">
        <v>648</v>
      </c>
      <c r="C121" s="8" t="s">
        <v>695</v>
      </c>
      <c r="D121" t="s">
        <v>682</v>
      </c>
      <c r="E121" s="20" t="s">
        <v>684</v>
      </c>
      <c r="F121" s="7" t="s">
        <v>649</v>
      </c>
      <c r="G121" s="7" t="s">
        <v>528</v>
      </c>
      <c r="H121" s="7" t="s">
        <v>11</v>
      </c>
      <c r="I121" s="7">
        <f>VLOOKUP(H121,cardsort_group_IDs!A:B,2,0)</f>
        <v>201</v>
      </c>
      <c r="J121" s="7" t="s">
        <v>18</v>
      </c>
      <c r="K121" s="7">
        <f>VLOOKUP(J121,cardsort_subgroup_IDs!A:B,2,0)</f>
        <v>302</v>
      </c>
      <c r="L121" s="7">
        <f t="shared" ref="L121" si="19">IF(E121="-",0,1)+IF(D121="-",0,2)</f>
        <v>3</v>
      </c>
      <c r="M121" s="7">
        <f t="shared" si="10"/>
        <v>10</v>
      </c>
      <c r="N121" s="7">
        <f t="shared" si="11"/>
        <v>1</v>
      </c>
      <c r="O121" s="7">
        <f t="shared" si="17"/>
        <v>11</v>
      </c>
      <c r="P121" s="19" t="s">
        <v>135</v>
      </c>
      <c r="Q121" s="24" t="s">
        <v>732</v>
      </c>
      <c r="R121" s="19" t="s">
        <v>650</v>
      </c>
    </row>
    <row r="122" spans="1:18" x14ac:dyDescent="0.25">
      <c r="A122" s="7">
        <v>149</v>
      </c>
      <c r="B122" s="7" t="s">
        <v>692</v>
      </c>
      <c r="C122" s="8" t="s">
        <v>10</v>
      </c>
      <c r="D122" s="19" t="s">
        <v>671</v>
      </c>
      <c r="E122" s="20" t="s">
        <v>684</v>
      </c>
      <c r="F122" s="7" t="s">
        <v>660</v>
      </c>
      <c r="G122" s="7" t="s">
        <v>528</v>
      </c>
      <c r="H122" s="7" t="s">
        <v>22</v>
      </c>
      <c r="I122" s="7">
        <f>VLOOKUP(H122,cardsort_group_IDs!A:B,2,0)</f>
        <v>202</v>
      </c>
      <c r="J122" s="7" t="s">
        <v>169</v>
      </c>
      <c r="K122" s="7">
        <f>VLOOKUP(J122,cardsort_subgroup_IDs!A:B,2,0)</f>
        <v>304</v>
      </c>
      <c r="L122" s="7">
        <f t="shared" ref="L122" si="20">IF(E122="-",0,1)+IF(D122="-",0,2)</f>
        <v>3</v>
      </c>
      <c r="M122" s="7">
        <f t="shared" si="10"/>
        <v>2</v>
      </c>
      <c r="N122" s="7">
        <f t="shared" si="11"/>
        <v>1</v>
      </c>
      <c r="O122" s="7">
        <f t="shared" ref="O122" si="21">SUM(M122:N122)</f>
        <v>3</v>
      </c>
      <c r="P122" s="19" t="s">
        <v>135</v>
      </c>
      <c r="Q122" s="24" t="s">
        <v>731</v>
      </c>
      <c r="R122" s="19" t="s">
        <v>661</v>
      </c>
    </row>
    <row r="123" spans="1:18" x14ac:dyDescent="0.25">
      <c r="A123" s="7">
        <v>150</v>
      </c>
      <c r="B123" s="7" t="s">
        <v>673</v>
      </c>
      <c r="C123" s="8" t="s">
        <v>10</v>
      </c>
      <c r="D123" s="19" t="s">
        <v>674</v>
      </c>
      <c r="E123" s="20" t="s">
        <v>10</v>
      </c>
      <c r="F123" s="7" t="s">
        <v>675</v>
      </c>
      <c r="G123" s="7" t="s">
        <v>528</v>
      </c>
      <c r="H123" s="7" t="s">
        <v>529</v>
      </c>
      <c r="I123" s="7">
        <f>VLOOKUP(H123,cardsort_group_IDs!A:B,2,0)</f>
        <v>203</v>
      </c>
      <c r="J123" s="7" t="s">
        <v>62</v>
      </c>
      <c r="K123" s="7">
        <f>VLOOKUP(J123,cardsort_subgroup_IDs!A:B,2,0)</f>
        <v>313</v>
      </c>
      <c r="L123" s="7">
        <f t="shared" ref="L123" si="22">IF(E123="-",0,1)+IF(D123="-",0,2)</f>
        <v>2</v>
      </c>
      <c r="M123" s="7">
        <f t="shared" si="10"/>
        <v>2</v>
      </c>
      <c r="N123" s="7">
        <f t="shared" si="11"/>
        <v>0</v>
      </c>
      <c r="O123" s="7">
        <f t="shared" ref="O123" si="23">SUM(M123:N123)</f>
        <v>2</v>
      </c>
      <c r="P123" s="19" t="s">
        <v>135</v>
      </c>
      <c r="Q123" s="24" t="s">
        <v>731</v>
      </c>
      <c r="R123" s="19" t="s">
        <v>676</v>
      </c>
    </row>
    <row r="124" spans="1:18" ht="30" x14ac:dyDescent="0.25">
      <c r="A124" s="7">
        <v>151</v>
      </c>
      <c r="B124" s="7" t="s">
        <v>686</v>
      </c>
      <c r="C124" s="8" t="s">
        <v>696</v>
      </c>
      <c r="D124" s="19" t="s">
        <v>10</v>
      </c>
      <c r="E124" s="20" t="s">
        <v>684</v>
      </c>
      <c r="F124" s="7" t="s">
        <v>687</v>
      </c>
      <c r="G124" s="7" t="s">
        <v>527</v>
      </c>
      <c r="H124" s="7" t="s">
        <v>16</v>
      </c>
      <c r="I124" s="7">
        <f>VLOOKUP(H124,cardsort_group_IDs!A:B,2,0)</f>
        <v>204</v>
      </c>
      <c r="J124" s="7" t="s">
        <v>17</v>
      </c>
      <c r="K124" s="7">
        <f>VLOOKUP(J124,cardsort_subgroup_IDs!A:B,2,0)</f>
        <v>327</v>
      </c>
      <c r="L124" s="7">
        <f t="shared" ref="L124" si="24">IF(E124="-",0,1)+IF(D124="-",0,2)</f>
        <v>1</v>
      </c>
      <c r="M124" s="7">
        <f t="shared" si="10"/>
        <v>0</v>
      </c>
      <c r="N124" s="7">
        <f t="shared" si="11"/>
        <v>1</v>
      </c>
      <c r="O124" s="7">
        <f t="shared" ref="O124" si="25">SUM(M124:N124)</f>
        <v>1</v>
      </c>
      <c r="P124" s="19" t="s">
        <v>135</v>
      </c>
      <c r="Q124" s="24" t="s">
        <v>732</v>
      </c>
      <c r="R124" s="19" t="s">
        <v>10</v>
      </c>
    </row>
    <row r="125" spans="1:18" x14ac:dyDescent="0.25">
      <c r="A125" s="7">
        <v>152</v>
      </c>
      <c r="B125" s="7" t="s">
        <v>702</v>
      </c>
      <c r="C125" s="8" t="s">
        <v>10</v>
      </c>
      <c r="D125" s="19" t="s">
        <v>10</v>
      </c>
      <c r="E125" s="20" t="s">
        <v>697</v>
      </c>
      <c r="F125" s="7" t="s">
        <v>703</v>
      </c>
      <c r="G125" s="7" t="s">
        <v>528</v>
      </c>
      <c r="H125" s="7" t="s">
        <v>529</v>
      </c>
      <c r="I125" s="7">
        <f>VLOOKUP(H125,cardsort_group_IDs!A:B,2,0)</f>
        <v>203</v>
      </c>
      <c r="J125" s="7" t="s">
        <v>100</v>
      </c>
      <c r="K125" s="7">
        <f>VLOOKUP(J125,cardsort_subgroup_IDs!A:B,2,0)</f>
        <v>321</v>
      </c>
      <c r="L125" s="7">
        <f t="shared" ref="L125" si="26">IF(E125="-",0,1)+IF(D125="-",0,2)</f>
        <v>1</v>
      </c>
      <c r="M125" s="7">
        <f t="shared" si="10"/>
        <v>0</v>
      </c>
      <c r="N125" s="7">
        <f t="shared" si="11"/>
        <v>1</v>
      </c>
      <c r="O125" s="7">
        <f t="shared" ref="O125" si="27">SUM(M125:N125)</f>
        <v>1</v>
      </c>
      <c r="P125" s="19" t="s">
        <v>135</v>
      </c>
      <c r="Q125" s="24" t="s">
        <v>731</v>
      </c>
      <c r="R125" s="19" t="s">
        <v>10</v>
      </c>
    </row>
    <row r="126" spans="1:18" x14ac:dyDescent="0.25">
      <c r="A126" s="7">
        <v>153</v>
      </c>
      <c r="B126" s="7" t="s">
        <v>704</v>
      </c>
      <c r="C126" s="8" t="s">
        <v>10</v>
      </c>
      <c r="D126" s="19" t="s">
        <v>10</v>
      </c>
      <c r="E126" s="20" t="s">
        <v>697</v>
      </c>
      <c r="F126" t="s">
        <v>706</v>
      </c>
      <c r="G126" s="7" t="s">
        <v>528</v>
      </c>
      <c r="H126" s="7" t="s">
        <v>529</v>
      </c>
      <c r="I126" s="7">
        <f>VLOOKUP(H126,cardsort_group_IDs!A:B,2,0)</f>
        <v>203</v>
      </c>
      <c r="J126" s="7" t="s">
        <v>103</v>
      </c>
      <c r="K126" s="7">
        <f>VLOOKUP(J126,cardsort_subgroup_IDs!A:B,2,0)</f>
        <v>322</v>
      </c>
      <c r="L126" s="7">
        <f t="shared" ref="L126" si="28">IF(E126="-",0,1)+IF(D126="-",0,2)</f>
        <v>1</v>
      </c>
      <c r="M126" s="7">
        <f t="shared" si="10"/>
        <v>0</v>
      </c>
      <c r="N126" s="7">
        <f t="shared" si="11"/>
        <v>1</v>
      </c>
      <c r="O126" s="7">
        <f t="shared" ref="O126" si="29">SUM(M126:N126)</f>
        <v>1</v>
      </c>
      <c r="P126" s="19" t="s">
        <v>135</v>
      </c>
      <c r="Q126" s="24" t="s">
        <v>733</v>
      </c>
      <c r="R126" s="19" t="s">
        <v>705</v>
      </c>
    </row>
    <row r="127" spans="1:18" x14ac:dyDescent="0.25">
      <c r="A127" s="7">
        <v>154</v>
      </c>
      <c r="B127" s="7" t="s">
        <v>710</v>
      </c>
      <c r="C127" s="8" t="s">
        <v>10</v>
      </c>
      <c r="D127" s="19" t="s">
        <v>10</v>
      </c>
      <c r="E127" s="20" t="s">
        <v>697</v>
      </c>
      <c r="F127" s="7" t="s">
        <v>711</v>
      </c>
      <c r="G127" s="7" t="s">
        <v>528</v>
      </c>
      <c r="H127" s="7" t="s">
        <v>529</v>
      </c>
      <c r="I127" s="7">
        <f>VLOOKUP(H127,cardsort_group_IDs!A:B,2,0)</f>
        <v>203</v>
      </c>
      <c r="J127" s="7" t="s">
        <v>62</v>
      </c>
      <c r="K127" s="7">
        <f>VLOOKUP(J127,cardsort_subgroup_IDs!A:B,2,0)</f>
        <v>313</v>
      </c>
      <c r="L127" s="7">
        <f t="shared" ref="L127" si="30">IF(E127="-",0,1)+IF(D127="-",0,2)</f>
        <v>1</v>
      </c>
      <c r="M127" s="7">
        <f t="shared" si="10"/>
        <v>0</v>
      </c>
      <c r="N127" s="7">
        <f t="shared" si="11"/>
        <v>1</v>
      </c>
      <c r="O127" s="7">
        <f t="shared" ref="O127" si="31">SUM(M127:N127)</f>
        <v>1</v>
      </c>
      <c r="P127" s="19" t="s">
        <v>135</v>
      </c>
      <c r="Q127" s="24" t="s">
        <v>731</v>
      </c>
      <c r="R127" s="19" t="s">
        <v>709</v>
      </c>
    </row>
    <row r="128" spans="1:18" x14ac:dyDescent="0.25">
      <c r="M128" s="7"/>
    </row>
    <row r="129" spans="13:13" x14ac:dyDescent="0.25">
      <c r="M129" s="7"/>
    </row>
    <row r="130" spans="13:13" x14ac:dyDescent="0.25">
      <c r="M130" s="7"/>
    </row>
    <row r="131" spans="13:13" x14ac:dyDescent="0.25">
      <c r="M131" s="7"/>
    </row>
    <row r="132" spans="13:13" x14ac:dyDescent="0.25">
      <c r="M132" s="7"/>
    </row>
    <row r="133" spans="13:13" x14ac:dyDescent="0.25">
      <c r="M133" s="7"/>
    </row>
    <row r="134" spans="13:13" x14ac:dyDescent="0.25">
      <c r="M134" s="7"/>
    </row>
    <row r="135" spans="13:13" x14ac:dyDescent="0.25">
      <c r="M135" s="7"/>
    </row>
    <row r="136" spans="13:13" x14ac:dyDescent="0.25">
      <c r="M136" s="7"/>
    </row>
    <row r="137" spans="13:13" x14ac:dyDescent="0.25">
      <c r="M137" s="7"/>
    </row>
    <row r="138" spans="13:13" x14ac:dyDescent="0.25">
      <c r="M138" s="7"/>
    </row>
    <row r="139" spans="13:13" x14ac:dyDescent="0.25">
      <c r="M139" s="7"/>
    </row>
    <row r="140" spans="13:13" x14ac:dyDescent="0.25">
      <c r="M140" s="7"/>
    </row>
    <row r="141" spans="13:13" x14ac:dyDescent="0.25">
      <c r="M141" s="7"/>
    </row>
  </sheetData>
  <autoFilter ref="A1:M113" xr:uid="{00000000-0001-0000-0000-000000000000}"/>
  <phoneticPr fontId="5" type="noConversion"/>
  <conditionalFormatting sqref="B1:B111">
    <cfRule type="duplicateValues" dxfId="38" priority="38"/>
  </conditionalFormatting>
  <conditionalFormatting sqref="B5">
    <cfRule type="duplicateValues" dxfId="37" priority="23"/>
  </conditionalFormatting>
  <conditionalFormatting sqref="B16">
    <cfRule type="duplicateValues" dxfId="36" priority="24"/>
  </conditionalFormatting>
  <conditionalFormatting sqref="B17">
    <cfRule type="duplicateValues" dxfId="35" priority="25"/>
  </conditionalFormatting>
  <conditionalFormatting sqref="B32">
    <cfRule type="duplicateValues" dxfId="34" priority="34"/>
  </conditionalFormatting>
  <conditionalFormatting sqref="B33">
    <cfRule type="duplicateValues" dxfId="33" priority="33"/>
  </conditionalFormatting>
  <conditionalFormatting sqref="B34">
    <cfRule type="duplicateValues" dxfId="32" priority="32"/>
  </conditionalFormatting>
  <conditionalFormatting sqref="B35">
    <cfRule type="duplicateValues" dxfId="31" priority="31"/>
  </conditionalFormatting>
  <conditionalFormatting sqref="B38:B41">
    <cfRule type="duplicateValues" dxfId="30" priority="40"/>
  </conditionalFormatting>
  <conditionalFormatting sqref="B44">
    <cfRule type="duplicateValues" dxfId="29" priority="30"/>
  </conditionalFormatting>
  <conditionalFormatting sqref="B46">
    <cfRule type="duplicateValues" dxfId="28" priority="29"/>
  </conditionalFormatting>
  <conditionalFormatting sqref="B47">
    <cfRule type="duplicateValues" dxfId="27" priority="28"/>
  </conditionalFormatting>
  <conditionalFormatting sqref="B48">
    <cfRule type="duplicateValues" dxfId="26" priority="27"/>
  </conditionalFormatting>
  <conditionalFormatting sqref="B74">
    <cfRule type="duplicateValues" dxfId="25" priority="9"/>
  </conditionalFormatting>
  <conditionalFormatting sqref="B96">
    <cfRule type="duplicateValues" dxfId="24" priority="4"/>
  </conditionalFormatting>
  <conditionalFormatting sqref="B97">
    <cfRule type="duplicateValues" dxfId="23" priority="3"/>
  </conditionalFormatting>
  <conditionalFormatting sqref="B112:B116 B119:B1048576">
    <cfRule type="duplicateValues" dxfId="22" priority="41"/>
  </conditionalFormatting>
  <conditionalFormatting sqref="F6">
    <cfRule type="duplicateValues" dxfId="21" priority="26"/>
  </conditionalFormatting>
  <conditionalFormatting sqref="F36">
    <cfRule type="duplicateValues" dxfId="20" priority="22"/>
  </conditionalFormatting>
  <conditionalFormatting sqref="F48">
    <cfRule type="duplicateValues" dxfId="19" priority="20"/>
    <cfRule type="duplicateValues" dxfId="18" priority="21"/>
  </conditionalFormatting>
  <conditionalFormatting sqref="F73">
    <cfRule type="duplicateValues" dxfId="17" priority="7"/>
  </conditionalFormatting>
  <conditionalFormatting sqref="F81">
    <cfRule type="duplicateValues" dxfId="16" priority="8"/>
  </conditionalFormatting>
  <conditionalFormatting sqref="F87">
    <cfRule type="duplicateValues" dxfId="15" priority="6"/>
  </conditionalFormatting>
  <conditionalFormatting sqref="F100">
    <cfRule type="duplicateValues" dxfId="14" priority="5"/>
  </conditionalFormatting>
  <conditionalFormatting sqref="J16">
    <cfRule type="duplicateValues" dxfId="13" priority="14"/>
    <cfRule type="duplicateValues" dxfId="12" priority="15"/>
  </conditionalFormatting>
  <conditionalFormatting sqref="J35">
    <cfRule type="duplicateValues" dxfId="11" priority="18"/>
    <cfRule type="duplicateValues" dxfId="10" priority="19"/>
  </conditionalFormatting>
  <conditionalFormatting sqref="J47">
    <cfRule type="duplicateValues" dxfId="9" priority="16"/>
    <cfRule type="duplicateValues" dxfId="8" priority="17"/>
  </conditionalFormatting>
  <conditionalFormatting sqref="J64">
    <cfRule type="duplicateValues" dxfId="7" priority="12"/>
    <cfRule type="duplicateValues" dxfId="6" priority="13"/>
  </conditionalFormatting>
  <conditionalFormatting sqref="J69">
    <cfRule type="duplicateValues" dxfId="5" priority="10"/>
    <cfRule type="duplicateValues" dxfId="4" priority="11"/>
  </conditionalFormatting>
  <conditionalFormatting sqref="J106">
    <cfRule type="duplicateValues" dxfId="3" priority="1"/>
    <cfRule type="duplicateValues" dxfId="2" priority="2"/>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C4F88-AAAD-435E-8324-B99D91D004B9}">
  <dimension ref="A1:D135"/>
  <sheetViews>
    <sheetView topLeftCell="A87" workbookViewId="0">
      <selection activeCell="C92" sqref="C92"/>
    </sheetView>
  </sheetViews>
  <sheetFormatPr defaultRowHeight="15" x14ac:dyDescent="0.25"/>
  <cols>
    <col min="1" max="1" width="9.140625" style="17"/>
    <col min="2" max="2" width="30.85546875" bestFit="1" customWidth="1"/>
    <col min="3" max="3" width="30.85546875" customWidth="1"/>
    <col min="4" max="4" width="85.140625" customWidth="1"/>
  </cols>
  <sheetData>
    <row r="1" spans="1:4" x14ac:dyDescent="0.25">
      <c r="A1" s="17" t="s">
        <v>420</v>
      </c>
      <c r="B1" t="s">
        <v>421</v>
      </c>
      <c r="C1" t="s">
        <v>714</v>
      </c>
      <c r="D1" s="15" t="s">
        <v>422</v>
      </c>
    </row>
    <row r="2" spans="1:4" x14ac:dyDescent="0.25">
      <c r="A2" s="17">
        <v>5</v>
      </c>
      <c r="B2" t="s">
        <v>314</v>
      </c>
      <c r="C2" t="s">
        <v>724</v>
      </c>
      <c r="D2" t="s">
        <v>315</v>
      </c>
    </row>
    <row r="3" spans="1:4" x14ac:dyDescent="0.25">
      <c r="A3" s="17">
        <v>6</v>
      </c>
      <c r="B3" t="s">
        <v>316</v>
      </c>
      <c r="C3" t="s">
        <v>724</v>
      </c>
      <c r="D3" t="s">
        <v>317</v>
      </c>
    </row>
    <row r="4" spans="1:4" x14ac:dyDescent="0.25">
      <c r="A4" s="17">
        <v>7</v>
      </c>
      <c r="B4" t="s">
        <v>318</v>
      </c>
      <c r="C4" t="s">
        <v>724</v>
      </c>
      <c r="D4" t="s">
        <v>319</v>
      </c>
    </row>
    <row r="5" spans="1:4" x14ac:dyDescent="0.25">
      <c r="A5" s="17">
        <v>9</v>
      </c>
      <c r="B5" t="s">
        <v>320</v>
      </c>
      <c r="C5" t="s">
        <v>724</v>
      </c>
      <c r="D5" s="15" t="s">
        <v>321</v>
      </c>
    </row>
    <row r="6" spans="1:4" x14ac:dyDescent="0.25">
      <c r="A6" s="17">
        <v>11</v>
      </c>
      <c r="B6" t="s">
        <v>322</v>
      </c>
      <c r="C6" t="s">
        <v>724</v>
      </c>
      <c r="D6" s="15" t="s">
        <v>323</v>
      </c>
    </row>
    <row r="7" spans="1:4" x14ac:dyDescent="0.25">
      <c r="A7" s="17">
        <v>13</v>
      </c>
      <c r="B7" t="s">
        <v>324</v>
      </c>
      <c r="C7" t="s">
        <v>724</v>
      </c>
      <c r="D7" s="15" t="s">
        <v>325</v>
      </c>
    </row>
    <row r="8" spans="1:4" x14ac:dyDescent="0.25">
      <c r="A8" s="17">
        <v>14</v>
      </c>
      <c r="B8" t="s">
        <v>326</v>
      </c>
      <c r="C8" t="s">
        <v>724</v>
      </c>
      <c r="D8" s="15" t="s">
        <v>327</v>
      </c>
    </row>
    <row r="9" spans="1:4" x14ac:dyDescent="0.25">
      <c r="A9" s="17">
        <v>15</v>
      </c>
      <c r="B9" t="s">
        <v>328</v>
      </c>
      <c r="C9" t="s">
        <v>724</v>
      </c>
      <c r="D9" s="15" t="s">
        <v>329</v>
      </c>
    </row>
    <row r="10" spans="1:4" x14ac:dyDescent="0.25">
      <c r="A10" s="17">
        <v>17</v>
      </c>
      <c r="B10" t="s">
        <v>330</v>
      </c>
      <c r="C10" t="s">
        <v>724</v>
      </c>
      <c r="D10" s="15" t="s">
        <v>331</v>
      </c>
    </row>
    <row r="11" spans="1:4" x14ac:dyDescent="0.25">
      <c r="A11" s="17">
        <v>19</v>
      </c>
      <c r="B11" t="s">
        <v>567</v>
      </c>
      <c r="C11" t="s">
        <v>724</v>
      </c>
      <c r="D11" t="s">
        <v>577</v>
      </c>
    </row>
    <row r="12" spans="1:4" x14ac:dyDescent="0.25">
      <c r="A12" s="17">
        <v>20</v>
      </c>
      <c r="B12" t="s">
        <v>332</v>
      </c>
      <c r="C12" t="s">
        <v>724</v>
      </c>
      <c r="D12" s="15" t="s">
        <v>333</v>
      </c>
    </row>
    <row r="13" spans="1:4" x14ac:dyDescent="0.25">
      <c r="A13" s="17">
        <v>21</v>
      </c>
      <c r="B13" t="s">
        <v>334</v>
      </c>
      <c r="C13" t="s">
        <v>724</v>
      </c>
      <c r="D13" s="15" t="s">
        <v>335</v>
      </c>
    </row>
    <row r="14" spans="1:4" x14ac:dyDescent="0.25">
      <c r="A14" s="17">
        <v>31</v>
      </c>
      <c r="B14" t="s">
        <v>336</v>
      </c>
      <c r="C14" t="s">
        <v>724</v>
      </c>
      <c r="D14" s="15" t="s">
        <v>337</v>
      </c>
    </row>
    <row r="15" spans="1:4" x14ac:dyDescent="0.25">
      <c r="A15" s="17">
        <v>32</v>
      </c>
      <c r="B15" t="s">
        <v>338</v>
      </c>
      <c r="C15" t="s">
        <v>724</v>
      </c>
      <c r="D15" s="15" t="s">
        <v>339</v>
      </c>
    </row>
    <row r="16" spans="1:4" x14ac:dyDescent="0.25">
      <c r="A16" s="17">
        <v>36</v>
      </c>
      <c r="B16" t="s">
        <v>340</v>
      </c>
      <c r="C16" t="s">
        <v>724</v>
      </c>
      <c r="D16" s="15" t="s">
        <v>341</v>
      </c>
    </row>
    <row r="17" spans="1:4" x14ac:dyDescent="0.25">
      <c r="A17" s="17">
        <v>39</v>
      </c>
      <c r="B17" t="s">
        <v>569</v>
      </c>
      <c r="C17" t="s">
        <v>724</v>
      </c>
      <c r="D17" t="s">
        <v>576</v>
      </c>
    </row>
    <row r="18" spans="1:4" x14ac:dyDescent="0.25">
      <c r="A18" s="17">
        <v>43</v>
      </c>
      <c r="B18" t="s">
        <v>342</v>
      </c>
      <c r="C18" t="s">
        <v>724</v>
      </c>
      <c r="D18" s="15" t="s">
        <v>343</v>
      </c>
    </row>
    <row r="19" spans="1:4" x14ac:dyDescent="0.25">
      <c r="A19" s="17">
        <v>45</v>
      </c>
      <c r="B19" t="s">
        <v>344</v>
      </c>
      <c r="C19" t="s">
        <v>724</v>
      </c>
      <c r="D19" s="15" t="s">
        <v>345</v>
      </c>
    </row>
    <row r="20" spans="1:4" x14ac:dyDescent="0.25">
      <c r="A20" s="17">
        <v>46</v>
      </c>
      <c r="B20" t="s">
        <v>346</v>
      </c>
      <c r="C20" t="s">
        <v>724</v>
      </c>
      <c r="D20" s="15" t="s">
        <v>347</v>
      </c>
    </row>
    <row r="21" spans="1:4" x14ac:dyDescent="0.25">
      <c r="A21" s="17">
        <v>47</v>
      </c>
      <c r="B21" t="s">
        <v>348</v>
      </c>
      <c r="C21" t="s">
        <v>724</v>
      </c>
      <c r="D21" s="15" t="s">
        <v>349</v>
      </c>
    </row>
    <row r="22" spans="1:4" x14ac:dyDescent="0.25">
      <c r="A22" s="17">
        <v>49</v>
      </c>
      <c r="B22" t="s">
        <v>350</v>
      </c>
      <c r="C22" t="s">
        <v>724</v>
      </c>
      <c r="D22" s="15" t="s">
        <v>351</v>
      </c>
    </row>
    <row r="23" spans="1:4" x14ac:dyDescent="0.25">
      <c r="A23" s="17">
        <v>50</v>
      </c>
      <c r="B23" t="s">
        <v>352</v>
      </c>
      <c r="C23" t="s">
        <v>724</v>
      </c>
      <c r="D23" s="15" t="s">
        <v>353</v>
      </c>
    </row>
    <row r="24" spans="1:4" x14ac:dyDescent="0.25">
      <c r="A24" s="17">
        <v>51</v>
      </c>
      <c r="B24" t="s">
        <v>354</v>
      </c>
      <c r="C24" t="s">
        <v>724</v>
      </c>
      <c r="D24" s="15" t="s">
        <v>355</v>
      </c>
    </row>
    <row r="25" spans="1:4" x14ac:dyDescent="0.25">
      <c r="A25" s="17">
        <v>52</v>
      </c>
      <c r="B25" t="s">
        <v>356</v>
      </c>
      <c r="C25" t="s">
        <v>724</v>
      </c>
      <c r="D25" s="15" t="s">
        <v>357</v>
      </c>
    </row>
    <row r="26" spans="1:4" x14ac:dyDescent="0.25">
      <c r="A26" s="17">
        <v>57</v>
      </c>
      <c r="B26" t="s">
        <v>358</v>
      </c>
      <c r="C26" t="s">
        <v>724</v>
      </c>
      <c r="D26" s="15" t="s">
        <v>359</v>
      </c>
    </row>
    <row r="27" spans="1:4" x14ac:dyDescent="0.25">
      <c r="A27" s="17">
        <v>62</v>
      </c>
      <c r="B27" t="s">
        <v>360</v>
      </c>
      <c r="C27" t="s">
        <v>724</v>
      </c>
      <c r="D27" s="15" t="s">
        <v>361</v>
      </c>
    </row>
    <row r="28" spans="1:4" x14ac:dyDescent="0.25">
      <c r="A28" s="17">
        <v>70</v>
      </c>
      <c r="B28" t="s">
        <v>362</v>
      </c>
      <c r="C28" t="s">
        <v>724</v>
      </c>
      <c r="D28" s="15" t="s">
        <v>363</v>
      </c>
    </row>
    <row r="29" spans="1:4" x14ac:dyDescent="0.25">
      <c r="A29" s="17">
        <v>87</v>
      </c>
      <c r="B29" t="s">
        <v>364</v>
      </c>
      <c r="C29" t="s">
        <v>724</v>
      </c>
      <c r="D29" s="15" t="s">
        <v>365</v>
      </c>
    </row>
    <row r="30" spans="1:4" x14ac:dyDescent="0.25">
      <c r="A30" s="17">
        <v>92</v>
      </c>
      <c r="B30" t="s">
        <v>582</v>
      </c>
      <c r="C30" t="s">
        <v>724</v>
      </c>
      <c r="D30" s="15" t="s">
        <v>366</v>
      </c>
    </row>
    <row r="31" spans="1:4" ht="75" x14ac:dyDescent="0.25">
      <c r="A31" s="17">
        <v>96</v>
      </c>
      <c r="B31" t="s">
        <v>367</v>
      </c>
      <c r="C31" t="s">
        <v>724</v>
      </c>
      <c r="D31" s="15" t="s">
        <v>368</v>
      </c>
    </row>
    <row r="32" spans="1:4" x14ac:dyDescent="0.25">
      <c r="A32" s="17">
        <v>101</v>
      </c>
      <c r="B32" t="s">
        <v>369</v>
      </c>
      <c r="C32" t="s">
        <v>724</v>
      </c>
      <c r="D32" s="15" t="s">
        <v>370</v>
      </c>
    </row>
    <row r="33" spans="1:4" ht="75" x14ac:dyDescent="0.25">
      <c r="A33" s="17">
        <v>105</v>
      </c>
      <c r="B33" t="s">
        <v>371</v>
      </c>
      <c r="C33" t="s">
        <v>724</v>
      </c>
      <c r="D33" s="15" t="s">
        <v>372</v>
      </c>
    </row>
    <row r="34" spans="1:4" x14ac:dyDescent="0.25">
      <c r="A34" s="17">
        <v>108</v>
      </c>
      <c r="B34" t="s">
        <v>373</v>
      </c>
      <c r="C34" t="s">
        <v>724</v>
      </c>
      <c r="D34" s="15" t="s">
        <v>374</v>
      </c>
    </row>
    <row r="35" spans="1:4" x14ac:dyDescent="0.25">
      <c r="A35" s="17">
        <v>111</v>
      </c>
      <c r="B35" t="s">
        <v>375</v>
      </c>
      <c r="C35" t="s">
        <v>724</v>
      </c>
      <c r="D35" s="15" t="s">
        <v>376</v>
      </c>
    </row>
    <row r="36" spans="1:4" x14ac:dyDescent="0.25">
      <c r="A36" s="17">
        <v>115</v>
      </c>
      <c r="B36" t="s">
        <v>377</v>
      </c>
      <c r="C36" t="s">
        <v>724</v>
      </c>
      <c r="D36" s="15" t="s">
        <v>378</v>
      </c>
    </row>
    <row r="37" spans="1:4" x14ac:dyDescent="0.25">
      <c r="A37" s="17">
        <v>131</v>
      </c>
      <c r="B37" t="s">
        <v>380</v>
      </c>
      <c r="C37" t="s">
        <v>724</v>
      </c>
      <c r="D37" s="15" t="s">
        <v>381</v>
      </c>
    </row>
    <row r="38" spans="1:4" s="16" customFormat="1" x14ac:dyDescent="0.25">
      <c r="A38" s="17">
        <v>146</v>
      </c>
      <c r="B38" t="s">
        <v>382</v>
      </c>
      <c r="C38" t="s">
        <v>724</v>
      </c>
      <c r="D38" s="15" t="s">
        <v>383</v>
      </c>
    </row>
    <row r="39" spans="1:4" x14ac:dyDescent="0.25">
      <c r="A39" s="17">
        <v>160</v>
      </c>
      <c r="B39" t="s">
        <v>384</v>
      </c>
      <c r="C39" t="s">
        <v>724</v>
      </c>
      <c r="D39" s="15" t="s">
        <v>385</v>
      </c>
    </row>
    <row r="40" spans="1:4" ht="30" x14ac:dyDescent="0.25">
      <c r="A40" s="17">
        <v>170</v>
      </c>
      <c r="B40" t="s">
        <v>40</v>
      </c>
      <c r="C40" t="s">
        <v>715</v>
      </c>
      <c r="D40" s="15" t="s">
        <v>386</v>
      </c>
    </row>
    <row r="41" spans="1:4" ht="30" x14ac:dyDescent="0.25">
      <c r="A41" s="17">
        <v>182</v>
      </c>
      <c r="B41" t="s">
        <v>387</v>
      </c>
      <c r="C41" t="s">
        <v>724</v>
      </c>
      <c r="D41" s="15" t="s">
        <v>388</v>
      </c>
    </row>
    <row r="42" spans="1:4" x14ac:dyDescent="0.25">
      <c r="A42" s="17">
        <v>183</v>
      </c>
      <c r="B42" t="s">
        <v>389</v>
      </c>
      <c r="C42" t="s">
        <v>724</v>
      </c>
      <c r="D42" s="15" t="s">
        <v>390</v>
      </c>
    </row>
    <row r="43" spans="1:4" x14ac:dyDescent="0.25">
      <c r="A43" s="17">
        <v>192</v>
      </c>
      <c r="B43" t="s">
        <v>580</v>
      </c>
      <c r="C43" t="s">
        <v>724</v>
      </c>
      <c r="D43" s="15" t="s">
        <v>391</v>
      </c>
    </row>
    <row r="44" spans="1:4" ht="30" x14ac:dyDescent="0.25">
      <c r="A44" s="17">
        <v>199</v>
      </c>
      <c r="B44" t="s">
        <v>617</v>
      </c>
      <c r="C44" t="s">
        <v>715</v>
      </c>
      <c r="D44" s="15" t="s">
        <v>392</v>
      </c>
    </row>
    <row r="45" spans="1:4" ht="30" x14ac:dyDescent="0.25">
      <c r="A45" s="17">
        <v>201</v>
      </c>
      <c r="B45" t="s">
        <v>20</v>
      </c>
      <c r="C45" t="s">
        <v>719</v>
      </c>
      <c r="D45" s="15" t="s">
        <v>393</v>
      </c>
    </row>
    <row r="46" spans="1:4" x14ac:dyDescent="0.25">
      <c r="A46" s="17">
        <v>202</v>
      </c>
      <c r="B46" t="s">
        <v>149</v>
      </c>
      <c r="C46" t="s">
        <v>719</v>
      </c>
      <c r="D46" s="15" t="s">
        <v>395</v>
      </c>
    </row>
    <row r="47" spans="1:4" x14ac:dyDescent="0.25">
      <c r="A47" s="17">
        <v>203</v>
      </c>
      <c r="B47" t="s">
        <v>515</v>
      </c>
      <c r="C47" t="s">
        <v>715</v>
      </c>
      <c r="D47" t="s">
        <v>566</v>
      </c>
    </row>
    <row r="48" spans="1:4" x14ac:dyDescent="0.25">
      <c r="A48" s="17">
        <v>209</v>
      </c>
      <c r="B48" t="s">
        <v>261</v>
      </c>
      <c r="C48" t="s">
        <v>715</v>
      </c>
      <c r="D48" s="15" t="s">
        <v>396</v>
      </c>
    </row>
    <row r="49" spans="1:4" x14ac:dyDescent="0.25">
      <c r="A49" s="17">
        <v>214</v>
      </c>
      <c r="B49" t="s">
        <v>397</v>
      </c>
      <c r="C49" t="s">
        <v>724</v>
      </c>
      <c r="D49" s="15" t="s">
        <v>581</v>
      </c>
    </row>
    <row r="50" spans="1:4" x14ac:dyDescent="0.25">
      <c r="A50" s="17">
        <v>232</v>
      </c>
      <c r="B50" t="s">
        <v>398</v>
      </c>
      <c r="D50" s="15" t="s">
        <v>399</v>
      </c>
    </row>
    <row r="51" spans="1:4" x14ac:dyDescent="0.25">
      <c r="A51" s="17">
        <v>233</v>
      </c>
      <c r="B51" t="s">
        <v>400</v>
      </c>
      <c r="C51" t="s">
        <v>724</v>
      </c>
      <c r="D51" s="15" t="s">
        <v>401</v>
      </c>
    </row>
    <row r="52" spans="1:4" x14ac:dyDescent="0.25">
      <c r="A52" s="17">
        <v>234</v>
      </c>
      <c r="B52" t="s">
        <v>402</v>
      </c>
      <c r="C52" t="s">
        <v>724</v>
      </c>
      <c r="D52" s="15" t="s">
        <v>403</v>
      </c>
    </row>
    <row r="53" spans="1:4" x14ac:dyDescent="0.25">
      <c r="A53" s="17">
        <v>235</v>
      </c>
      <c r="B53" t="s">
        <v>404</v>
      </c>
      <c r="C53" t="s">
        <v>724</v>
      </c>
      <c r="D53" s="15" t="s">
        <v>405</v>
      </c>
    </row>
    <row r="54" spans="1:4" x14ac:dyDescent="0.25">
      <c r="A54" s="17">
        <v>236</v>
      </c>
      <c r="B54" t="s">
        <v>406</v>
      </c>
      <c r="C54" t="s">
        <v>724</v>
      </c>
      <c r="D54" s="15" t="s">
        <v>407</v>
      </c>
    </row>
    <row r="55" spans="1:4" x14ac:dyDescent="0.25">
      <c r="A55" s="17">
        <v>237</v>
      </c>
      <c r="B55" t="s">
        <v>408</v>
      </c>
      <c r="C55" t="s">
        <v>724</v>
      </c>
      <c r="D55" s="15" t="s">
        <v>409</v>
      </c>
    </row>
    <row r="56" spans="1:4" x14ac:dyDescent="0.25">
      <c r="A56" s="17">
        <v>238</v>
      </c>
      <c r="B56" t="s">
        <v>410</v>
      </c>
      <c r="C56" t="s">
        <v>724</v>
      </c>
      <c r="D56" s="15" t="s">
        <v>411</v>
      </c>
    </row>
    <row r="57" spans="1:4" x14ac:dyDescent="0.25">
      <c r="A57" s="17">
        <v>240</v>
      </c>
      <c r="B57" t="s">
        <v>412</v>
      </c>
      <c r="C57" t="s">
        <v>724</v>
      </c>
      <c r="D57" s="15" t="s">
        <v>413</v>
      </c>
    </row>
    <row r="58" spans="1:4" x14ac:dyDescent="0.25">
      <c r="A58" s="17">
        <v>241</v>
      </c>
      <c r="B58" t="s">
        <v>414</v>
      </c>
      <c r="C58" t="s">
        <v>724</v>
      </c>
      <c r="D58" s="15" t="s">
        <v>415</v>
      </c>
    </row>
    <row r="59" spans="1:4" x14ac:dyDescent="0.25">
      <c r="A59" s="17">
        <v>243</v>
      </c>
      <c r="B59" t="s">
        <v>416</v>
      </c>
      <c r="C59" t="s">
        <v>724</v>
      </c>
      <c r="D59" s="15" t="s">
        <v>417</v>
      </c>
    </row>
    <row r="60" spans="1:4" x14ac:dyDescent="0.25">
      <c r="A60" s="17">
        <v>244</v>
      </c>
      <c r="B60" t="s">
        <v>418</v>
      </c>
      <c r="C60" t="s">
        <v>724</v>
      </c>
      <c r="D60" s="15" t="s">
        <v>419</v>
      </c>
    </row>
    <row r="61" spans="1:4" x14ac:dyDescent="0.25">
      <c r="A61" s="17">
        <v>501</v>
      </c>
      <c r="B61" t="s">
        <v>424</v>
      </c>
      <c r="C61" t="s">
        <v>724</v>
      </c>
      <c r="D61" s="15" t="s">
        <v>423</v>
      </c>
    </row>
    <row r="62" spans="1:4" x14ac:dyDescent="0.25">
      <c r="A62" s="17">
        <v>502</v>
      </c>
      <c r="B62" t="s">
        <v>426</v>
      </c>
      <c r="C62" t="s">
        <v>724</v>
      </c>
      <c r="D62" s="15" t="s">
        <v>425</v>
      </c>
    </row>
    <row r="63" spans="1:4" x14ac:dyDescent="0.25">
      <c r="A63" s="17">
        <v>503</v>
      </c>
      <c r="B63" t="s">
        <v>272</v>
      </c>
      <c r="C63" t="s">
        <v>724</v>
      </c>
      <c r="D63" s="15" t="s">
        <v>470</v>
      </c>
    </row>
    <row r="64" spans="1:4" x14ac:dyDescent="0.25">
      <c r="A64" s="17">
        <v>504</v>
      </c>
      <c r="B64" t="s">
        <v>471</v>
      </c>
      <c r="C64" t="s">
        <v>724</v>
      </c>
      <c r="D64" s="15" t="s">
        <v>472</v>
      </c>
    </row>
    <row r="65" spans="1:4" x14ac:dyDescent="0.25">
      <c r="A65" s="17">
        <v>505</v>
      </c>
      <c r="B65" t="s">
        <v>427</v>
      </c>
      <c r="C65" t="s">
        <v>724</v>
      </c>
      <c r="D65" s="15" t="s">
        <v>473</v>
      </c>
    </row>
    <row r="66" spans="1:4" ht="30" x14ac:dyDescent="0.25">
      <c r="A66" s="17">
        <v>506</v>
      </c>
      <c r="B66" t="s">
        <v>67</v>
      </c>
      <c r="C66" t="s">
        <v>724</v>
      </c>
      <c r="D66" s="15" t="s">
        <v>428</v>
      </c>
    </row>
    <row r="67" spans="1:4" x14ac:dyDescent="0.25">
      <c r="A67" s="17">
        <v>507</v>
      </c>
      <c r="B67" t="s">
        <v>617</v>
      </c>
      <c r="C67" t="s">
        <v>715</v>
      </c>
      <c r="D67" s="15" t="s">
        <v>429</v>
      </c>
    </row>
    <row r="68" spans="1:4" x14ac:dyDescent="0.25">
      <c r="A68" s="17">
        <v>508</v>
      </c>
      <c r="B68" t="s">
        <v>71</v>
      </c>
      <c r="C68" t="s">
        <v>724</v>
      </c>
      <c r="D68" s="15" t="s">
        <v>430</v>
      </c>
    </row>
    <row r="69" spans="1:4" x14ac:dyDescent="0.25">
      <c r="A69" s="17">
        <v>509</v>
      </c>
      <c r="B69" t="s">
        <v>138</v>
      </c>
      <c r="C69" t="s">
        <v>724</v>
      </c>
      <c r="D69" s="15" t="s">
        <v>474</v>
      </c>
    </row>
    <row r="70" spans="1:4" x14ac:dyDescent="0.25">
      <c r="A70" s="17">
        <v>510</v>
      </c>
      <c r="B70" t="s">
        <v>571</v>
      </c>
      <c r="C70" t="s">
        <v>715</v>
      </c>
      <c r="D70" t="s">
        <v>570</v>
      </c>
    </row>
    <row r="71" spans="1:4" x14ac:dyDescent="0.25">
      <c r="A71" s="17" t="s">
        <v>484</v>
      </c>
      <c r="B71" t="s">
        <v>485</v>
      </c>
      <c r="C71" t="s">
        <v>718</v>
      </c>
      <c r="D71" s="15" t="s">
        <v>381</v>
      </c>
    </row>
    <row r="72" spans="1:4" x14ac:dyDescent="0.25">
      <c r="A72" s="17" t="s">
        <v>486</v>
      </c>
      <c r="B72" t="s">
        <v>487</v>
      </c>
      <c r="C72" t="s">
        <v>715</v>
      </c>
      <c r="D72" s="15" t="s">
        <v>381</v>
      </c>
    </row>
    <row r="73" spans="1:4" x14ac:dyDescent="0.25">
      <c r="A73" s="17" t="s">
        <v>488</v>
      </c>
      <c r="B73" t="s">
        <v>726</v>
      </c>
      <c r="C73" t="s">
        <v>718</v>
      </c>
      <c r="D73" s="15" t="s">
        <v>381</v>
      </c>
    </row>
    <row r="74" spans="1:4" x14ac:dyDescent="0.25">
      <c r="A74" s="17" t="s">
        <v>489</v>
      </c>
      <c r="B74" t="s">
        <v>490</v>
      </c>
      <c r="C74" t="s">
        <v>719</v>
      </c>
      <c r="D74" s="15" t="s">
        <v>381</v>
      </c>
    </row>
    <row r="75" spans="1:4" x14ac:dyDescent="0.25">
      <c r="A75" s="17" t="s">
        <v>491</v>
      </c>
      <c r="B75" t="s">
        <v>222</v>
      </c>
      <c r="C75" t="s">
        <v>715</v>
      </c>
      <c r="D75" s="15" t="s">
        <v>381</v>
      </c>
    </row>
    <row r="76" spans="1:4" x14ac:dyDescent="0.25">
      <c r="A76" s="17" t="s">
        <v>492</v>
      </c>
      <c r="B76" t="s">
        <v>493</v>
      </c>
      <c r="C76" t="s">
        <v>719</v>
      </c>
      <c r="D76" s="15" t="s">
        <v>381</v>
      </c>
    </row>
    <row r="77" spans="1:4" x14ac:dyDescent="0.25">
      <c r="A77" s="17" t="s">
        <v>494</v>
      </c>
      <c r="B77" t="s">
        <v>495</v>
      </c>
      <c r="C77" t="s">
        <v>715</v>
      </c>
      <c r="D77" s="15" t="s">
        <v>381</v>
      </c>
    </row>
    <row r="78" spans="1:4" x14ac:dyDescent="0.25">
      <c r="A78" s="17" t="s">
        <v>496</v>
      </c>
      <c r="B78" t="s">
        <v>120</v>
      </c>
      <c r="C78" t="s">
        <v>718</v>
      </c>
      <c r="D78" s="15" t="s">
        <v>381</v>
      </c>
    </row>
    <row r="79" spans="1:4" x14ac:dyDescent="0.25">
      <c r="A79" s="17" t="s">
        <v>497</v>
      </c>
      <c r="B79" t="s">
        <v>727</v>
      </c>
      <c r="C79" t="s">
        <v>715</v>
      </c>
      <c r="D79" s="15" t="s">
        <v>381</v>
      </c>
    </row>
    <row r="80" spans="1:4" x14ac:dyDescent="0.25">
      <c r="A80" s="17" t="s">
        <v>498</v>
      </c>
      <c r="B80" t="s">
        <v>617</v>
      </c>
      <c r="C80" t="s">
        <v>715</v>
      </c>
      <c r="D80" s="15" t="s">
        <v>381</v>
      </c>
    </row>
    <row r="81" spans="1:4" x14ac:dyDescent="0.25">
      <c r="A81" s="17" t="s">
        <v>464</v>
      </c>
      <c r="B81" t="s">
        <v>499</v>
      </c>
      <c r="C81" t="s">
        <v>715</v>
      </c>
      <c r="D81" s="15" t="s">
        <v>381</v>
      </c>
    </row>
    <row r="82" spans="1:4" x14ac:dyDescent="0.25">
      <c r="A82" s="17" t="s">
        <v>500</v>
      </c>
      <c r="B82" t="s">
        <v>713</v>
      </c>
      <c r="C82" t="s">
        <v>715</v>
      </c>
      <c r="D82" s="15" t="s">
        <v>381</v>
      </c>
    </row>
    <row r="83" spans="1:4" x14ac:dyDescent="0.25">
      <c r="A83" s="17" t="s">
        <v>501</v>
      </c>
      <c r="B83" t="s">
        <v>502</v>
      </c>
      <c r="C83" t="s">
        <v>715</v>
      </c>
      <c r="D83" s="15" t="s">
        <v>381</v>
      </c>
    </row>
    <row r="84" spans="1:4" x14ac:dyDescent="0.25">
      <c r="A84" s="17" t="s">
        <v>503</v>
      </c>
      <c r="B84" t="s">
        <v>504</v>
      </c>
      <c r="C84" t="s">
        <v>715</v>
      </c>
      <c r="D84" s="15" t="s">
        <v>381</v>
      </c>
    </row>
    <row r="85" spans="1:4" x14ac:dyDescent="0.25">
      <c r="A85" s="17" t="s">
        <v>505</v>
      </c>
      <c r="B85" t="s">
        <v>264</v>
      </c>
      <c r="C85" t="s">
        <v>715</v>
      </c>
      <c r="D85" s="15" t="s">
        <v>381</v>
      </c>
    </row>
    <row r="86" spans="1:4" x14ac:dyDescent="0.25">
      <c r="A86" s="17" t="s">
        <v>506</v>
      </c>
      <c r="B86" t="s">
        <v>507</v>
      </c>
      <c r="C86" t="s">
        <v>724</v>
      </c>
      <c r="D86" s="15" t="s">
        <v>381</v>
      </c>
    </row>
    <row r="87" spans="1:4" x14ac:dyDescent="0.25">
      <c r="A87" s="17" t="s">
        <v>508</v>
      </c>
      <c r="B87" t="s">
        <v>509</v>
      </c>
      <c r="C87" t="s">
        <v>715</v>
      </c>
      <c r="D87" s="15" t="s">
        <v>381</v>
      </c>
    </row>
    <row r="88" spans="1:4" x14ac:dyDescent="0.25">
      <c r="A88" s="17" t="s">
        <v>510</v>
      </c>
      <c r="B88" t="s">
        <v>511</v>
      </c>
      <c r="C88" t="s">
        <v>715</v>
      </c>
      <c r="D88" s="15" t="s">
        <v>381</v>
      </c>
    </row>
    <row r="89" spans="1:4" x14ac:dyDescent="0.25">
      <c r="A89" s="17" t="s">
        <v>512</v>
      </c>
      <c r="B89" t="s">
        <v>513</v>
      </c>
      <c r="C89" t="s">
        <v>719</v>
      </c>
      <c r="D89" s="15" t="s">
        <v>381</v>
      </c>
    </row>
    <row r="90" spans="1:4" x14ac:dyDescent="0.25">
      <c r="A90" s="17" t="s">
        <v>514</v>
      </c>
      <c r="B90" t="s">
        <v>515</v>
      </c>
      <c r="C90" t="s">
        <v>715</v>
      </c>
      <c r="D90" s="15" t="s">
        <v>381</v>
      </c>
    </row>
    <row r="91" spans="1:4" x14ac:dyDescent="0.25">
      <c r="A91" s="17" t="s">
        <v>517</v>
      </c>
      <c r="B91" t="s">
        <v>513</v>
      </c>
      <c r="C91" t="s">
        <v>719</v>
      </c>
      <c r="D91" s="15" t="s">
        <v>383</v>
      </c>
    </row>
    <row r="92" spans="1:4" x14ac:dyDescent="0.25">
      <c r="A92" s="17" t="s">
        <v>518</v>
      </c>
      <c r="B92" t="s">
        <v>379</v>
      </c>
      <c r="C92" t="s">
        <v>715</v>
      </c>
      <c r="D92" s="15" t="s">
        <v>383</v>
      </c>
    </row>
    <row r="93" spans="1:4" x14ac:dyDescent="0.25">
      <c r="A93" s="17" t="s">
        <v>516</v>
      </c>
      <c r="B93" t="s">
        <v>499</v>
      </c>
      <c r="C93" t="s">
        <v>715</v>
      </c>
      <c r="D93" s="15" t="s">
        <v>390</v>
      </c>
    </row>
    <row r="94" spans="1:4" x14ac:dyDescent="0.25">
      <c r="A94" s="17" t="s">
        <v>438</v>
      </c>
      <c r="B94" t="s">
        <v>149</v>
      </c>
      <c r="C94" t="s">
        <v>719</v>
      </c>
      <c r="D94" s="15" t="s">
        <v>395</v>
      </c>
    </row>
    <row r="95" spans="1:4" x14ac:dyDescent="0.25">
      <c r="A95" s="17" t="s">
        <v>551</v>
      </c>
      <c r="B95" t="s">
        <v>379</v>
      </c>
      <c r="C95" t="s">
        <v>715</v>
      </c>
      <c r="D95" s="15" t="s">
        <v>333</v>
      </c>
    </row>
    <row r="96" spans="1:4" x14ac:dyDescent="0.25">
      <c r="A96" s="17" t="s">
        <v>561</v>
      </c>
      <c r="B96" t="s">
        <v>264</v>
      </c>
      <c r="C96" t="s">
        <v>715</v>
      </c>
      <c r="D96" s="15" t="s">
        <v>399</v>
      </c>
    </row>
    <row r="97" spans="1:4" x14ac:dyDescent="0.25">
      <c r="A97" s="17" t="s">
        <v>534</v>
      </c>
      <c r="B97" t="s">
        <v>379</v>
      </c>
      <c r="C97" t="s">
        <v>715</v>
      </c>
      <c r="D97" s="15" t="s">
        <v>339</v>
      </c>
    </row>
    <row r="98" spans="1:4" x14ac:dyDescent="0.25">
      <c r="A98" s="17" t="s">
        <v>475</v>
      </c>
      <c r="B98" t="s">
        <v>476</v>
      </c>
      <c r="C98" t="s">
        <v>715</v>
      </c>
      <c r="D98" s="15" t="s">
        <v>423</v>
      </c>
    </row>
    <row r="99" spans="1:4" x14ac:dyDescent="0.25">
      <c r="A99" s="17" t="s">
        <v>433</v>
      </c>
      <c r="B99" t="s">
        <v>81</v>
      </c>
      <c r="C99" t="s">
        <v>719</v>
      </c>
      <c r="D99" s="15" t="s">
        <v>423</v>
      </c>
    </row>
    <row r="100" spans="1:4" x14ac:dyDescent="0.25">
      <c r="A100" s="17" t="s">
        <v>434</v>
      </c>
      <c r="B100" t="s">
        <v>91</v>
      </c>
      <c r="C100" t="s">
        <v>719</v>
      </c>
      <c r="D100" s="15" t="s">
        <v>423</v>
      </c>
    </row>
    <row r="101" spans="1:4" x14ac:dyDescent="0.25">
      <c r="A101" s="17" t="s">
        <v>477</v>
      </c>
      <c r="B101" t="s">
        <v>478</v>
      </c>
      <c r="C101" t="s">
        <v>719</v>
      </c>
      <c r="D101" s="15" t="s">
        <v>423</v>
      </c>
    </row>
    <row r="102" spans="1:4" x14ac:dyDescent="0.25">
      <c r="A102" s="17" t="s">
        <v>479</v>
      </c>
      <c r="B102" t="s">
        <v>480</v>
      </c>
      <c r="C102" t="s">
        <v>719</v>
      </c>
      <c r="D102" s="15" t="s">
        <v>423</v>
      </c>
    </row>
    <row r="103" spans="1:4" x14ac:dyDescent="0.25">
      <c r="A103" s="17" t="s">
        <v>481</v>
      </c>
      <c r="B103" t="s">
        <v>482</v>
      </c>
      <c r="C103" t="s">
        <v>719</v>
      </c>
      <c r="D103" s="15" t="s">
        <v>423</v>
      </c>
    </row>
    <row r="104" spans="1:4" x14ac:dyDescent="0.25">
      <c r="A104" s="17" t="s">
        <v>436</v>
      </c>
      <c r="B104" t="s">
        <v>20</v>
      </c>
      <c r="C104" t="s">
        <v>719</v>
      </c>
      <c r="D104" s="15" t="s">
        <v>423</v>
      </c>
    </row>
    <row r="105" spans="1:4" x14ac:dyDescent="0.25">
      <c r="A105" s="17" t="s">
        <v>439</v>
      </c>
      <c r="B105" t="s">
        <v>222</v>
      </c>
      <c r="C105" t="s">
        <v>715</v>
      </c>
      <c r="D105" s="15" t="s">
        <v>423</v>
      </c>
    </row>
    <row r="106" spans="1:4" x14ac:dyDescent="0.25">
      <c r="A106" s="17" t="s">
        <v>440</v>
      </c>
      <c r="B106" t="s">
        <v>120</v>
      </c>
      <c r="C106" t="s">
        <v>718</v>
      </c>
      <c r="D106" s="15" t="s">
        <v>423</v>
      </c>
    </row>
    <row r="107" spans="1:4" x14ac:dyDescent="0.25">
      <c r="A107" s="17" t="s">
        <v>483</v>
      </c>
      <c r="B107" t="s">
        <v>727</v>
      </c>
      <c r="C107" t="s">
        <v>715</v>
      </c>
      <c r="D107" s="15" t="s">
        <v>423</v>
      </c>
    </row>
    <row r="108" spans="1:4" x14ac:dyDescent="0.25">
      <c r="A108" s="17" t="s">
        <v>441</v>
      </c>
      <c r="B108" t="s">
        <v>261</v>
      </c>
      <c r="C108" t="s">
        <v>715</v>
      </c>
      <c r="D108" s="15" t="s">
        <v>423</v>
      </c>
    </row>
    <row r="109" spans="1:4" x14ac:dyDescent="0.25">
      <c r="A109" s="17" t="s">
        <v>443</v>
      </c>
      <c r="B109" t="s">
        <v>685</v>
      </c>
      <c r="C109" t="s">
        <v>719</v>
      </c>
      <c r="D109" s="15" t="s">
        <v>423</v>
      </c>
    </row>
    <row r="110" spans="1:4" x14ac:dyDescent="0.25">
      <c r="A110" s="17" t="s">
        <v>444</v>
      </c>
      <c r="B110" t="s">
        <v>617</v>
      </c>
      <c r="C110" t="s">
        <v>715</v>
      </c>
      <c r="D110" s="15" t="s">
        <v>423</v>
      </c>
    </row>
    <row r="111" spans="1:4" x14ac:dyDescent="0.25">
      <c r="A111" s="17" t="s">
        <v>445</v>
      </c>
      <c r="B111" t="s">
        <v>264</v>
      </c>
      <c r="C111" t="s">
        <v>715</v>
      </c>
      <c r="D111" s="15" t="s">
        <v>423</v>
      </c>
    </row>
    <row r="112" spans="1:4" x14ac:dyDescent="0.25">
      <c r="A112" s="17" t="s">
        <v>465</v>
      </c>
      <c r="B112" t="s">
        <v>40</v>
      </c>
      <c r="C112" t="s">
        <v>715</v>
      </c>
      <c r="D112" s="15" t="s">
        <v>423</v>
      </c>
    </row>
    <row r="113" spans="1:4" x14ac:dyDescent="0.25">
      <c r="A113" s="17" t="s">
        <v>535</v>
      </c>
      <c r="B113" t="s">
        <v>379</v>
      </c>
      <c r="C113" t="s">
        <v>715</v>
      </c>
      <c r="D113" s="15" t="s">
        <v>315</v>
      </c>
    </row>
    <row r="114" spans="1:4" x14ac:dyDescent="0.25">
      <c r="A114" s="17" t="s">
        <v>532</v>
      </c>
      <c r="B114" t="s">
        <v>379</v>
      </c>
      <c r="C114" t="s">
        <v>715</v>
      </c>
      <c r="D114" s="15" t="s">
        <v>317</v>
      </c>
    </row>
    <row r="115" spans="1:4" x14ac:dyDescent="0.25">
      <c r="A115" s="17" t="s">
        <v>585</v>
      </c>
      <c r="B115" t="s">
        <v>586</v>
      </c>
      <c r="C115" t="s">
        <v>724</v>
      </c>
      <c r="D115" t="s">
        <v>584</v>
      </c>
    </row>
    <row r="116" spans="1:4" x14ac:dyDescent="0.25">
      <c r="A116" s="17" t="s">
        <v>587</v>
      </c>
      <c r="B116" t="s">
        <v>515</v>
      </c>
      <c r="C116" t="s">
        <v>715</v>
      </c>
      <c r="D116" t="s">
        <v>584</v>
      </c>
    </row>
    <row r="117" spans="1:4" x14ac:dyDescent="0.25">
      <c r="A117" s="17" t="s">
        <v>598</v>
      </c>
      <c r="B117" t="s">
        <v>379</v>
      </c>
      <c r="C117" t="s">
        <v>715</v>
      </c>
      <c r="D117" t="s">
        <v>584</v>
      </c>
    </row>
    <row r="118" spans="1:4" x14ac:dyDescent="0.25">
      <c r="A118" s="17" t="s">
        <v>599</v>
      </c>
      <c r="B118" t="s">
        <v>485</v>
      </c>
      <c r="C118" t="s">
        <v>718</v>
      </c>
      <c r="D118" t="s">
        <v>584</v>
      </c>
    </row>
    <row r="119" spans="1:4" x14ac:dyDescent="0.25">
      <c r="A119" s="17" t="s">
        <v>600</v>
      </c>
      <c r="B119" t="s">
        <v>588</v>
      </c>
      <c r="C119" t="s">
        <v>718</v>
      </c>
      <c r="D119" t="s">
        <v>584</v>
      </c>
    </row>
    <row r="120" spans="1:4" x14ac:dyDescent="0.25">
      <c r="A120" s="17" t="s">
        <v>601</v>
      </c>
      <c r="B120" t="s">
        <v>222</v>
      </c>
      <c r="C120" t="s">
        <v>715</v>
      </c>
      <c r="D120" t="s">
        <v>584</v>
      </c>
    </row>
    <row r="121" spans="1:4" x14ac:dyDescent="0.25">
      <c r="A121" s="17" t="s">
        <v>602</v>
      </c>
      <c r="B121" t="s">
        <v>589</v>
      </c>
      <c r="C121" t="s">
        <v>718</v>
      </c>
      <c r="D121" t="s">
        <v>584</v>
      </c>
    </row>
    <row r="122" spans="1:4" x14ac:dyDescent="0.25">
      <c r="A122" s="17" t="s">
        <v>603</v>
      </c>
      <c r="B122" t="s">
        <v>590</v>
      </c>
      <c r="C122" t="s">
        <v>715</v>
      </c>
      <c r="D122" t="s">
        <v>584</v>
      </c>
    </row>
    <row r="123" spans="1:4" x14ac:dyDescent="0.25">
      <c r="A123" s="17" t="s">
        <v>604</v>
      </c>
      <c r="B123" t="s">
        <v>614</v>
      </c>
      <c r="C123" t="s">
        <v>719</v>
      </c>
      <c r="D123" t="s">
        <v>584</v>
      </c>
    </row>
    <row r="124" spans="1:4" x14ac:dyDescent="0.25">
      <c r="A124" s="17" t="s">
        <v>605</v>
      </c>
      <c r="B124" t="s">
        <v>591</v>
      </c>
      <c r="C124" t="s">
        <v>719</v>
      </c>
      <c r="D124" t="s">
        <v>584</v>
      </c>
    </row>
    <row r="125" spans="1:4" x14ac:dyDescent="0.25">
      <c r="A125" s="17" t="s">
        <v>606</v>
      </c>
      <c r="B125" t="s">
        <v>592</v>
      </c>
      <c r="C125" t="s">
        <v>719</v>
      </c>
      <c r="D125" t="s">
        <v>584</v>
      </c>
    </row>
    <row r="126" spans="1:4" x14ac:dyDescent="0.25">
      <c r="A126" s="17" t="s">
        <v>607</v>
      </c>
      <c r="B126" t="s">
        <v>593</v>
      </c>
      <c r="C126" t="s">
        <v>719</v>
      </c>
      <c r="D126" t="s">
        <v>584</v>
      </c>
    </row>
    <row r="127" spans="1:4" x14ac:dyDescent="0.25">
      <c r="A127" s="17" t="s">
        <v>608</v>
      </c>
      <c r="B127" t="s">
        <v>594</v>
      </c>
      <c r="C127" t="s">
        <v>715</v>
      </c>
      <c r="D127" t="s">
        <v>584</v>
      </c>
    </row>
    <row r="128" spans="1:4" x14ac:dyDescent="0.25">
      <c r="A128" s="17" t="s">
        <v>609</v>
      </c>
      <c r="B128" t="s">
        <v>595</v>
      </c>
      <c r="C128" t="s">
        <v>719</v>
      </c>
      <c r="D128" t="s">
        <v>584</v>
      </c>
    </row>
    <row r="129" spans="1:4" x14ac:dyDescent="0.25">
      <c r="A129" s="17" t="s">
        <v>610</v>
      </c>
      <c r="B129" t="s">
        <v>596</v>
      </c>
      <c r="C129" t="s">
        <v>719</v>
      </c>
      <c r="D129" t="s">
        <v>584</v>
      </c>
    </row>
    <row r="130" spans="1:4" x14ac:dyDescent="0.25">
      <c r="A130" s="17" t="s">
        <v>611</v>
      </c>
      <c r="B130" t="s">
        <v>613</v>
      </c>
      <c r="C130" t="s">
        <v>715</v>
      </c>
      <c r="D130" t="s">
        <v>584</v>
      </c>
    </row>
    <row r="131" spans="1:4" x14ac:dyDescent="0.25">
      <c r="A131" s="17" t="s">
        <v>612</v>
      </c>
      <c r="B131" t="s">
        <v>597</v>
      </c>
      <c r="C131" t="s">
        <v>718</v>
      </c>
      <c r="D131" t="s">
        <v>584</v>
      </c>
    </row>
    <row r="132" spans="1:4" x14ac:dyDescent="0.25">
      <c r="A132" s="17" t="s">
        <v>644</v>
      </c>
      <c r="B132" t="s">
        <v>645</v>
      </c>
      <c r="C132" t="s">
        <v>715</v>
      </c>
      <c r="D132" t="s">
        <v>584</v>
      </c>
    </row>
    <row r="133" spans="1:4" x14ac:dyDescent="0.25">
      <c r="A133" s="17" t="s">
        <v>655</v>
      </c>
      <c r="B133" t="s">
        <v>617</v>
      </c>
      <c r="C133" t="s">
        <v>715</v>
      </c>
      <c r="D133" t="s">
        <v>584</v>
      </c>
    </row>
    <row r="134" spans="1:4" x14ac:dyDescent="0.25">
      <c r="A134" s="17" t="s">
        <v>684</v>
      </c>
      <c r="B134" t="s">
        <v>394</v>
      </c>
      <c r="C134" t="s">
        <v>724</v>
      </c>
      <c r="D134" t="s">
        <v>683</v>
      </c>
    </row>
    <row r="135" spans="1:4" x14ac:dyDescent="0.25">
      <c r="A135" s="17" t="s">
        <v>697</v>
      </c>
      <c r="B135" t="s">
        <v>699</v>
      </c>
      <c r="C135" t="s">
        <v>724</v>
      </c>
      <c r="D135" t="s">
        <v>698</v>
      </c>
    </row>
  </sheetData>
  <autoFilter ref="A1:D114" xr:uid="{854C4F88-AAAD-435E-8324-B99D91D004B9}">
    <sortState xmlns:xlrd2="http://schemas.microsoft.com/office/spreadsheetml/2017/richdata2" ref="A2:D115">
      <sortCondition ref="A1:A114"/>
    </sortState>
  </autoFilter>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3AF502F-D1AD-4813-A4FB-E37B2777E9D6}">
          <x14:formula1>
            <xm:f>company_sizes!$A$2:$A$6</xm:f>
          </x14:formula1>
          <xm:sqref>C1:C1048576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E0007-DBA3-40E7-A82A-A06DA06FDAC0}">
  <dimension ref="A1:B8"/>
  <sheetViews>
    <sheetView workbookViewId="0">
      <selection activeCell="B4" sqref="B4"/>
    </sheetView>
  </sheetViews>
  <sheetFormatPr defaultRowHeight="15" x14ac:dyDescent="0.25"/>
  <cols>
    <col min="1" max="1" width="27.42578125" customWidth="1"/>
  </cols>
  <sheetData>
    <row r="1" spans="1:2" x14ac:dyDescent="0.25">
      <c r="A1" s="7" t="s">
        <v>11</v>
      </c>
      <c r="B1">
        <v>201</v>
      </c>
    </row>
    <row r="2" spans="1:2" x14ac:dyDescent="0.25">
      <c r="A2" s="7" t="s">
        <v>22</v>
      </c>
      <c r="B2">
        <v>202</v>
      </c>
    </row>
    <row r="3" spans="1:2" x14ac:dyDescent="0.25">
      <c r="A3" t="s">
        <v>529</v>
      </c>
      <c r="B3">
        <v>203</v>
      </c>
    </row>
    <row r="4" spans="1:2" x14ac:dyDescent="0.25">
      <c r="A4" s="7" t="s">
        <v>16</v>
      </c>
      <c r="B4">
        <v>204</v>
      </c>
    </row>
    <row r="5" spans="1:2" x14ac:dyDescent="0.25">
      <c r="A5" s="7" t="s">
        <v>37</v>
      </c>
      <c r="B5">
        <v>205</v>
      </c>
    </row>
    <row r="6" spans="1:2" x14ac:dyDescent="0.25">
      <c r="A6" s="7" t="s">
        <v>53</v>
      </c>
      <c r="B6">
        <v>206</v>
      </c>
    </row>
    <row r="7" spans="1:2" x14ac:dyDescent="0.25">
      <c r="A7" s="7" t="s">
        <v>58</v>
      </c>
      <c r="B7">
        <v>207</v>
      </c>
    </row>
    <row r="8" spans="1:2" x14ac:dyDescent="0.25">
      <c r="A8" s="7" t="s">
        <v>76</v>
      </c>
      <c r="B8">
        <v>208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C7A03-1149-406F-B777-94A46BF40AD3}">
  <dimension ref="A1:B31"/>
  <sheetViews>
    <sheetView workbookViewId="0">
      <selection activeCell="A28" sqref="A28"/>
    </sheetView>
  </sheetViews>
  <sheetFormatPr defaultRowHeight="15" x14ac:dyDescent="0.25"/>
  <cols>
    <col min="1" max="1" width="30.140625" bestFit="1" customWidth="1"/>
  </cols>
  <sheetData>
    <row r="1" spans="1:2" x14ac:dyDescent="0.25">
      <c r="A1" s="7" t="s">
        <v>12</v>
      </c>
      <c r="B1">
        <v>301</v>
      </c>
    </row>
    <row r="2" spans="1:2" x14ac:dyDescent="0.25">
      <c r="A2" s="7" t="s">
        <v>18</v>
      </c>
      <c r="B2">
        <v>302</v>
      </c>
    </row>
    <row r="3" spans="1:2" x14ac:dyDescent="0.25">
      <c r="A3" s="7" t="s">
        <v>23</v>
      </c>
      <c r="B3">
        <v>303</v>
      </c>
    </row>
    <row r="4" spans="1:2" x14ac:dyDescent="0.25">
      <c r="A4" s="7" t="s">
        <v>169</v>
      </c>
      <c r="B4">
        <v>304</v>
      </c>
    </row>
    <row r="5" spans="1:2" x14ac:dyDescent="0.25">
      <c r="A5" s="7" t="s">
        <v>26</v>
      </c>
      <c r="B5">
        <v>305</v>
      </c>
    </row>
    <row r="6" spans="1:2" x14ac:dyDescent="0.25">
      <c r="A6" s="7" t="s">
        <v>29</v>
      </c>
      <c r="B6">
        <v>306</v>
      </c>
    </row>
    <row r="7" spans="1:2" x14ac:dyDescent="0.25">
      <c r="A7" s="7" t="s">
        <v>32</v>
      </c>
      <c r="B7">
        <v>307</v>
      </c>
    </row>
    <row r="8" spans="1:2" x14ac:dyDescent="0.25">
      <c r="A8" s="7" t="s">
        <v>38</v>
      </c>
      <c r="B8">
        <v>308</v>
      </c>
    </row>
    <row r="9" spans="1:2" x14ac:dyDescent="0.25">
      <c r="A9" s="7" t="s">
        <v>42</v>
      </c>
      <c r="B9">
        <v>309</v>
      </c>
    </row>
    <row r="10" spans="1:2" x14ac:dyDescent="0.25">
      <c r="A10" s="7" t="s">
        <v>49</v>
      </c>
      <c r="B10">
        <v>310</v>
      </c>
    </row>
    <row r="11" spans="1:2" x14ac:dyDescent="0.25">
      <c r="A11" s="7" t="s">
        <v>16</v>
      </c>
      <c r="B11">
        <v>311</v>
      </c>
    </row>
    <row r="12" spans="1:2" x14ac:dyDescent="0.25">
      <c r="A12" s="7" t="s">
        <v>59</v>
      </c>
      <c r="B12">
        <v>312</v>
      </c>
    </row>
    <row r="13" spans="1:2" x14ac:dyDescent="0.25">
      <c r="A13" s="8" t="s">
        <v>62</v>
      </c>
      <c r="B13">
        <v>313</v>
      </c>
    </row>
    <row r="14" spans="1:2" x14ac:dyDescent="0.25">
      <c r="A14" s="7" t="s">
        <v>63</v>
      </c>
      <c r="B14">
        <v>314</v>
      </c>
    </row>
    <row r="15" spans="1:2" x14ac:dyDescent="0.25">
      <c r="A15" s="7" t="s">
        <v>69</v>
      </c>
      <c r="B15">
        <v>316</v>
      </c>
    </row>
    <row r="16" spans="1:2" x14ac:dyDescent="0.25">
      <c r="A16" s="7" t="s">
        <v>37</v>
      </c>
      <c r="B16">
        <v>317</v>
      </c>
    </row>
    <row r="17" spans="1:2" x14ac:dyDescent="0.25">
      <c r="A17" s="7" t="s">
        <v>85</v>
      </c>
      <c r="B17">
        <v>318</v>
      </c>
    </row>
    <row r="18" spans="1:2" x14ac:dyDescent="0.25">
      <c r="A18" s="7" t="s">
        <v>89</v>
      </c>
      <c r="B18">
        <v>319</v>
      </c>
    </row>
    <row r="19" spans="1:2" x14ac:dyDescent="0.25">
      <c r="A19" s="7" t="s">
        <v>95</v>
      </c>
      <c r="B19">
        <v>320</v>
      </c>
    </row>
    <row r="20" spans="1:2" x14ac:dyDescent="0.25">
      <c r="A20" s="7" t="s">
        <v>100</v>
      </c>
      <c r="B20">
        <v>321</v>
      </c>
    </row>
    <row r="21" spans="1:2" x14ac:dyDescent="0.25">
      <c r="A21" s="7" t="s">
        <v>103</v>
      </c>
      <c r="B21">
        <v>322</v>
      </c>
    </row>
    <row r="22" spans="1:2" x14ac:dyDescent="0.25">
      <c r="A22" s="7" t="s">
        <v>118</v>
      </c>
      <c r="B22">
        <v>323</v>
      </c>
    </row>
    <row r="23" spans="1:2" x14ac:dyDescent="0.25">
      <c r="A23" s="7" t="s">
        <v>122</v>
      </c>
      <c r="B23">
        <v>324</v>
      </c>
    </row>
    <row r="24" spans="1:2" x14ac:dyDescent="0.25">
      <c r="A24" s="7" t="s">
        <v>125</v>
      </c>
      <c r="B24">
        <v>325</v>
      </c>
    </row>
    <row r="25" spans="1:2" x14ac:dyDescent="0.25">
      <c r="A25" s="7" t="s">
        <v>128</v>
      </c>
      <c r="B25">
        <v>326</v>
      </c>
    </row>
    <row r="26" spans="1:2" x14ac:dyDescent="0.25">
      <c r="A26" s="7" t="s">
        <v>17</v>
      </c>
      <c r="B26">
        <v>327</v>
      </c>
    </row>
    <row r="27" spans="1:2" x14ac:dyDescent="0.25">
      <c r="A27" s="7" t="s">
        <v>144</v>
      </c>
      <c r="B27">
        <v>328</v>
      </c>
    </row>
    <row r="28" spans="1:2" x14ac:dyDescent="0.25">
      <c r="A28" s="7" t="s">
        <v>166</v>
      </c>
      <c r="B28">
        <v>329</v>
      </c>
    </row>
    <row r="29" spans="1:2" x14ac:dyDescent="0.25">
      <c r="A29" s="7" t="s">
        <v>237</v>
      </c>
      <c r="B29">
        <v>330</v>
      </c>
    </row>
    <row r="30" spans="1:2" x14ac:dyDescent="0.25">
      <c r="A30" s="7" t="s">
        <v>244</v>
      </c>
      <c r="B30">
        <v>331</v>
      </c>
    </row>
    <row r="31" spans="1:2" x14ac:dyDescent="0.25">
      <c r="A31" s="7" t="s">
        <v>248</v>
      </c>
      <c r="B31">
        <v>332</v>
      </c>
    </row>
  </sheetData>
  <conditionalFormatting sqref="A19">
    <cfRule type="duplicateValues" dxfId="1" priority="1"/>
    <cfRule type="duplicateValues" dxfId="0" priority="2"/>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6B18B-824B-4961-944D-6779BD03AFB2}">
  <dimension ref="A1:B6"/>
  <sheetViews>
    <sheetView workbookViewId="0">
      <selection activeCell="A7" sqref="A7"/>
    </sheetView>
  </sheetViews>
  <sheetFormatPr defaultRowHeight="15" x14ac:dyDescent="0.25"/>
  <cols>
    <col min="1" max="1" width="13.5703125" bestFit="1" customWidth="1"/>
    <col min="2" max="2" width="20.7109375" customWidth="1"/>
  </cols>
  <sheetData>
    <row r="1" spans="1:2" x14ac:dyDescent="0.25">
      <c r="A1" s="23" t="s">
        <v>714</v>
      </c>
      <c r="B1" s="23" t="s">
        <v>717</v>
      </c>
    </row>
    <row r="2" spans="1:2" x14ac:dyDescent="0.25">
      <c r="A2" s="17" t="s">
        <v>715</v>
      </c>
      <c r="B2" s="17" t="s">
        <v>716</v>
      </c>
    </row>
    <row r="3" spans="1:2" x14ac:dyDescent="0.25">
      <c r="A3" s="17" t="s">
        <v>718</v>
      </c>
      <c r="B3" s="17" t="s">
        <v>721</v>
      </c>
    </row>
    <row r="4" spans="1:2" x14ac:dyDescent="0.25">
      <c r="A4" s="17" t="s">
        <v>719</v>
      </c>
      <c r="B4" s="17" t="s">
        <v>720</v>
      </c>
    </row>
    <row r="5" spans="1:2" x14ac:dyDescent="0.25">
      <c r="A5" s="17" t="s">
        <v>722</v>
      </c>
      <c r="B5" s="17" t="s">
        <v>723</v>
      </c>
    </row>
    <row r="6" spans="1:2" x14ac:dyDescent="0.25">
      <c r="A6" s="17" t="s">
        <v>724</v>
      </c>
      <c r="B6" s="17" t="s">
        <v>725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metrics</vt:lpstr>
      <vt:lpstr>urls</vt:lpstr>
      <vt:lpstr>cardsort_group_IDs</vt:lpstr>
      <vt:lpstr>cardsort_subgroup_IDs</vt:lpstr>
      <vt:lpstr>company_sizes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Meyer</dc:creator>
  <cp:lastModifiedBy>André Meyer</cp:lastModifiedBy>
  <dcterms:created xsi:type="dcterms:W3CDTF">2015-06-05T18:19:34Z</dcterms:created>
  <dcterms:modified xsi:type="dcterms:W3CDTF">2026-03-10T12:33:04Z</dcterms:modified>
</cp:coreProperties>
</file>