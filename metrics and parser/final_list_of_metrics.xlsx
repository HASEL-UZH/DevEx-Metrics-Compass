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https://d.docs.live.net/7672a64f9460fe35/Dokumente/HASEL/Research/DX Metrics Compass/repo/DPE-Metrics-main/metrics and parser/"/>
    </mc:Choice>
  </mc:AlternateContent>
  <xr:revisionPtr revIDLastSave="1165" documentId="11_AD4DB114E441178AC67DF41BA6D2DCBA683EDF19" xr6:coauthVersionLast="47" xr6:coauthVersionMax="47" xr10:uidLastSave="{38E4C470-41E8-449D-8B44-A9E728CD687B}"/>
  <bookViews>
    <workbookView xWindow="28695" yWindow="0" windowWidth="29010" windowHeight="23385" xr2:uid="{00000000-000D-0000-FFFF-FFFF00000000}"/>
  </bookViews>
  <sheets>
    <sheet name="metrics" sheetId="1" r:id="rId1"/>
    <sheet name="urls" sheetId="4" r:id="rId2"/>
    <sheet name="cardsort_group_IDs" sheetId="2" r:id="rId3"/>
    <sheet name="cardsort_subgroup_IDs" sheetId="3" r:id="rId4"/>
  </sheets>
  <definedNames>
    <definedName name="_xlnm._FilterDatabase" localSheetId="0" hidden="1">metrics!$A$1:$N$112</definedName>
    <definedName name="_xlnm._FilterDatabase" localSheetId="1" hidden="1">urls!$A$1:$C$114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 l="1"/>
  <c r="L3" i="1"/>
  <c r="I2" i="1"/>
  <c r="N112" i="1"/>
  <c r="L112" i="1"/>
  <c r="O112" i="1"/>
  <c r="P112" i="1" s="1"/>
  <c r="K112" i="1"/>
  <c r="I11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N3" i="1"/>
  <c r="O3" i="1"/>
  <c r="N4" i="1"/>
  <c r="O4" i="1"/>
  <c r="N5" i="1"/>
  <c r="O5" i="1"/>
  <c r="N6" i="1"/>
  <c r="O6" i="1"/>
  <c r="N7" i="1"/>
  <c r="O7" i="1"/>
  <c r="N8" i="1"/>
  <c r="O8" i="1"/>
  <c r="N9" i="1"/>
  <c r="O9" i="1"/>
  <c r="N10" i="1"/>
  <c r="O10" i="1"/>
  <c r="N11" i="1"/>
  <c r="O11" i="1"/>
  <c r="N12" i="1"/>
  <c r="O12" i="1"/>
  <c r="N13" i="1"/>
  <c r="O13" i="1"/>
  <c r="N14" i="1"/>
  <c r="O14" i="1"/>
  <c r="N15" i="1"/>
  <c r="O15" i="1"/>
  <c r="N16" i="1"/>
  <c r="O16" i="1"/>
  <c r="N17" i="1"/>
  <c r="O17" i="1"/>
  <c r="N18" i="1"/>
  <c r="O18" i="1"/>
  <c r="N19" i="1"/>
  <c r="O19" i="1"/>
  <c r="N20" i="1"/>
  <c r="O20" i="1"/>
  <c r="N21" i="1"/>
  <c r="O21" i="1"/>
  <c r="N22" i="1"/>
  <c r="O22" i="1"/>
  <c r="N23" i="1"/>
  <c r="O23" i="1"/>
  <c r="N24" i="1"/>
  <c r="O24" i="1"/>
  <c r="N25" i="1"/>
  <c r="O25" i="1"/>
  <c r="N26" i="1"/>
  <c r="O26" i="1"/>
  <c r="N27" i="1"/>
  <c r="O27" i="1"/>
  <c r="N28" i="1"/>
  <c r="O28" i="1"/>
  <c r="N29" i="1"/>
  <c r="O29" i="1"/>
  <c r="N30" i="1"/>
  <c r="O30" i="1"/>
  <c r="N31" i="1"/>
  <c r="O31" i="1"/>
  <c r="N32" i="1"/>
  <c r="O32" i="1"/>
  <c r="N33" i="1"/>
  <c r="O33" i="1"/>
  <c r="N34" i="1"/>
  <c r="O34" i="1"/>
  <c r="N35" i="1"/>
  <c r="O35" i="1"/>
  <c r="N36" i="1"/>
  <c r="O36" i="1"/>
  <c r="N37" i="1"/>
  <c r="O37" i="1"/>
  <c r="N38" i="1"/>
  <c r="O38" i="1"/>
  <c r="N39" i="1"/>
  <c r="O39" i="1"/>
  <c r="N40" i="1"/>
  <c r="O40" i="1"/>
  <c r="N41" i="1"/>
  <c r="O41" i="1"/>
  <c r="N42" i="1"/>
  <c r="O42" i="1"/>
  <c r="N43" i="1"/>
  <c r="O43" i="1"/>
  <c r="N44" i="1"/>
  <c r="O44" i="1"/>
  <c r="N45" i="1"/>
  <c r="O45" i="1"/>
  <c r="N46" i="1"/>
  <c r="O46" i="1"/>
  <c r="N47" i="1"/>
  <c r="O47" i="1"/>
  <c r="N48" i="1"/>
  <c r="O48" i="1"/>
  <c r="N49" i="1"/>
  <c r="O49" i="1"/>
  <c r="N50" i="1"/>
  <c r="O50" i="1"/>
  <c r="N51" i="1"/>
  <c r="O51" i="1"/>
  <c r="N52" i="1"/>
  <c r="O52" i="1"/>
  <c r="N53" i="1"/>
  <c r="O53" i="1"/>
  <c r="N54" i="1"/>
  <c r="O54" i="1"/>
  <c r="N55" i="1"/>
  <c r="O55" i="1"/>
  <c r="N56" i="1"/>
  <c r="O56" i="1"/>
  <c r="N57" i="1"/>
  <c r="O57" i="1"/>
  <c r="N58" i="1"/>
  <c r="O58" i="1"/>
  <c r="N59" i="1"/>
  <c r="O59" i="1"/>
  <c r="N60" i="1"/>
  <c r="O60" i="1"/>
  <c r="N61" i="1"/>
  <c r="O61" i="1"/>
  <c r="N62" i="1"/>
  <c r="O62" i="1"/>
  <c r="N63" i="1"/>
  <c r="O63" i="1"/>
  <c r="N64" i="1"/>
  <c r="O64" i="1"/>
  <c r="N65" i="1"/>
  <c r="O65" i="1"/>
  <c r="N66" i="1"/>
  <c r="O66" i="1"/>
  <c r="N67" i="1"/>
  <c r="O67" i="1"/>
  <c r="N68" i="1"/>
  <c r="O68" i="1"/>
  <c r="N69" i="1"/>
  <c r="O69" i="1"/>
  <c r="N70" i="1"/>
  <c r="O70" i="1"/>
  <c r="N71" i="1"/>
  <c r="O71" i="1"/>
  <c r="N72" i="1"/>
  <c r="O72" i="1"/>
  <c r="N73" i="1"/>
  <c r="O73" i="1"/>
  <c r="N74" i="1"/>
  <c r="O74" i="1"/>
  <c r="N75" i="1"/>
  <c r="O75" i="1"/>
  <c r="N76" i="1"/>
  <c r="O76" i="1"/>
  <c r="N77" i="1"/>
  <c r="O77" i="1"/>
  <c r="N78" i="1"/>
  <c r="O78" i="1"/>
  <c r="N79" i="1"/>
  <c r="O79" i="1"/>
  <c r="N80" i="1"/>
  <c r="O80" i="1"/>
  <c r="N81" i="1"/>
  <c r="O81" i="1"/>
  <c r="N82" i="1"/>
  <c r="O82" i="1"/>
  <c r="N83" i="1"/>
  <c r="O83" i="1"/>
  <c r="N84" i="1"/>
  <c r="O84" i="1"/>
  <c r="N85" i="1"/>
  <c r="O85" i="1"/>
  <c r="N86" i="1"/>
  <c r="O86" i="1"/>
  <c r="N87" i="1"/>
  <c r="O87" i="1"/>
  <c r="N88" i="1"/>
  <c r="O88" i="1"/>
  <c r="N89" i="1"/>
  <c r="O89" i="1"/>
  <c r="N90" i="1"/>
  <c r="O90" i="1"/>
  <c r="N91" i="1"/>
  <c r="O91" i="1"/>
  <c r="N92" i="1"/>
  <c r="O92" i="1"/>
  <c r="N93" i="1"/>
  <c r="O93" i="1"/>
  <c r="N94" i="1"/>
  <c r="O94" i="1"/>
  <c r="N95" i="1"/>
  <c r="O95" i="1"/>
  <c r="N96" i="1"/>
  <c r="O96" i="1"/>
  <c r="N97" i="1"/>
  <c r="O97" i="1"/>
  <c r="N98" i="1"/>
  <c r="O98" i="1"/>
  <c r="N99" i="1"/>
  <c r="O99" i="1"/>
  <c r="N100" i="1"/>
  <c r="O100" i="1"/>
  <c r="N101" i="1"/>
  <c r="O101" i="1"/>
  <c r="N102" i="1"/>
  <c r="O102" i="1"/>
  <c r="N103" i="1"/>
  <c r="O103" i="1"/>
  <c r="N104" i="1"/>
  <c r="O104" i="1"/>
  <c r="N105" i="1"/>
  <c r="O105" i="1"/>
  <c r="N106" i="1"/>
  <c r="O106" i="1"/>
  <c r="N107" i="1"/>
  <c r="O107" i="1"/>
  <c r="N108" i="1"/>
  <c r="O108" i="1"/>
  <c r="N109" i="1"/>
  <c r="O109" i="1"/>
  <c r="N110" i="1"/>
  <c r="O110" i="1"/>
  <c r="N111" i="1"/>
  <c r="O111" i="1"/>
  <c r="O2" i="1"/>
  <c r="L2" i="1"/>
  <c r="K3" i="1" l="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P111" i="1"/>
  <c r="P109" i="1"/>
  <c r="P108" i="1"/>
  <c r="P104" i="1"/>
  <c r="P97" i="1"/>
  <c r="P95" i="1"/>
  <c r="P94" i="1"/>
  <c r="P93" i="1"/>
  <c r="P90" i="1"/>
  <c r="P83" i="1"/>
  <c r="P81" i="1"/>
  <c r="P80" i="1"/>
  <c r="P79" i="1"/>
  <c r="P76" i="1"/>
  <c r="P69" i="1"/>
  <c r="P67" i="1"/>
  <c r="P66" i="1"/>
  <c r="P65" i="1"/>
  <c r="P62" i="1"/>
  <c r="P55" i="1"/>
  <c r="P53" i="1"/>
  <c r="P52" i="1"/>
  <c r="P48" i="1"/>
  <c r="P41" i="1"/>
  <c r="P37" i="1"/>
  <c r="P30" i="1"/>
  <c r="P28" i="1"/>
  <c r="P27" i="1"/>
  <c r="P26" i="1"/>
  <c r="P23" i="1"/>
  <c r="P19" i="1"/>
  <c r="P14" i="1"/>
  <c r="P10" i="1" l="1"/>
  <c r="P107" i="1"/>
  <c r="P9" i="1"/>
  <c r="P11" i="1"/>
  <c r="P16" i="1"/>
  <c r="P21" i="1"/>
  <c r="P40" i="1"/>
  <c r="P17" i="1"/>
  <c r="P34" i="1"/>
  <c r="P45" i="1"/>
  <c r="P59" i="1"/>
  <c r="P73" i="1"/>
  <c r="P87" i="1"/>
  <c r="P101" i="1"/>
  <c r="P12" i="1"/>
  <c r="P51" i="1"/>
  <c r="P3" i="1"/>
  <c r="P8" i="1"/>
  <c r="P22" i="1"/>
  <c r="P36" i="1"/>
  <c r="P47" i="1"/>
  <c r="P61" i="1"/>
  <c r="P75" i="1"/>
  <c r="P89" i="1"/>
  <c r="P103" i="1"/>
  <c r="P18" i="1"/>
  <c r="P32" i="1"/>
  <c r="P43" i="1"/>
  <c r="P57" i="1"/>
  <c r="P71" i="1"/>
  <c r="P85" i="1"/>
  <c r="P99" i="1"/>
  <c r="P31" i="1"/>
  <c r="P42" i="1"/>
  <c r="P56" i="1"/>
  <c r="P70" i="1"/>
  <c r="P84" i="1"/>
  <c r="P98" i="1"/>
  <c r="P33" i="1"/>
  <c r="P44" i="1"/>
  <c r="P58" i="1"/>
  <c r="P72" i="1"/>
  <c r="P86" i="1"/>
  <c r="P100" i="1"/>
  <c r="P24" i="1"/>
  <c r="P38" i="1"/>
  <c r="P49" i="1"/>
  <c r="P63" i="1"/>
  <c r="P77" i="1"/>
  <c r="P91" i="1"/>
  <c r="P105" i="1"/>
  <c r="P15" i="1"/>
  <c r="P29" i="1"/>
  <c r="P54" i="1"/>
  <c r="P68" i="1"/>
  <c r="P82" i="1"/>
  <c r="P96" i="1"/>
  <c r="P110" i="1"/>
  <c r="P20" i="1"/>
  <c r="P25" i="1"/>
  <c r="P39" i="1"/>
  <c r="P50" i="1"/>
  <c r="P64" i="1"/>
  <c r="P78" i="1"/>
  <c r="P92" i="1"/>
  <c r="P106" i="1"/>
  <c r="P35" i="1"/>
  <c r="P46" i="1"/>
  <c r="P60" i="1"/>
  <c r="P74" i="1"/>
  <c r="P88" i="1"/>
  <c r="P102" i="1"/>
  <c r="P7" i="1"/>
  <c r="P6" i="1"/>
  <c r="P5" i="1"/>
  <c r="P13" i="1"/>
  <c r="P2" i="1"/>
  <c r="P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tc={F5E482B5-41C4-49D6-9F4E-4D4BE193AF28}</author>
    <author>tc={2443806D-D89D-4F46-8BFE-38F000C63452}</author>
    <author>tc={5DABF24C-F7F6-4498-BB7E-BFB15DB8540E}</author>
    <author>tc={738F5169-58A9-48F4-8196-48D2F743B5DF}</author>
    <author>tc={B51E8FD0-2567-4557-B58E-1C6A56D9BFA3}</author>
    <author>tc={E017DF4E-5656-4CEF-B774-80BA936A6D56}</author>
    <author>tc={8A92D669-9E50-4C59-82E5-97B139270D19}</author>
    <author>tc={D1402E5C-7B54-496A-9313-5C695A9DF175}</author>
    <author>tc={5A82E217-4A6B-46B7-9ADC-E64B4DF43DFC}</author>
    <author>tc={CD59760B-76A7-492D-B20B-A2D9CF3FBC59}</author>
    <author>tc={121DA4BD-014E-470E-AB44-B9514592A80F}</author>
    <author>tc={41A1A9E9-8671-443A-BC53-E9E6789FC6B2}</author>
    <author>tc={D07C1F58-FF51-472F-B628-25B77946F3D6}</author>
    <author>tc={EF886BF9-B28D-42E1-9B64-C8A7E72E082A}</author>
    <author>tc={7C21EAC9-D7DB-489B-AFEF-DEF502EE6ECC}</author>
    <author>tc={917C3D96-4AA9-4D8E-8F4B-AEDAD8831587}</author>
    <author>tc={FDDDF671-A2B6-4958-A032-5551C66219BE}</author>
    <author>tc={9BD6282E-AAD8-44B3-94D7-6BADCF15D5F0}</author>
    <author>tc={9ABBA003-3752-4178-8927-349ABCC5DB99}</author>
    <author>tc={2F0223C9-C77F-4AA1-8A90-F4A399ADDA2A}</author>
    <author>tc={80D5B2BD-D0F6-4AB8-8017-59A06F6C1C9C}</author>
    <author>tc={45640671-D7E4-4EA6-9099-D4E52C010FD7}</author>
    <author>tc={EB733AEE-2F18-46F9-8A7B-0CA9B6B32FFC}</author>
    <author>tc={C9FB5614-C3E5-4863-BFB7-AAB3A42EAACD}</author>
    <author>tc={FCC3DA67-C366-4123-AE95-236C8FC56568}</author>
    <author>tc={24A13EBD-8030-4299-B820-E3DBAA902DCC}</author>
    <author>tc={65177E12-2939-4BCC-8B47-DB95E81C94F5}</author>
    <author>tc={35A9EE27-ABF3-44C5-B07F-C1029F352D07}</author>
  </authors>
  <commentList>
    <comment ref="H2" authorId="0" shapeId="0" xr:uid="{F5E482B5-41C4-49D6-9F4E-4D4BE193AF28}">
      <text>
        <t>[Threaded comment]
Your version of Excel allows you to read this threaded comment; however, any edits to it will get removed if the file is opened in a newer version of Excel. Learn more: https://go.microsoft.com/fwlink/?linkid=870924
Comment:
    Nach Andres Input von Business zu Process geändert.</t>
      </text>
    </comment>
    <comment ref="B15" authorId="1" shapeId="0" xr:uid="{2443806D-D89D-4F46-8BFE-38F000C63452}">
      <text>
        <t>[Threaded comment]
Your version of Excel allows you to read this threaded comment; however, any edits to it will get removed if the file is opened in a newer version of Excel. Learn more: https://go.microsoft.com/fwlink/?linkid=870924
Comment:
    Nach Andres Input von „Coding“ zu „Produced Code“ geändert</t>
      </text>
    </comment>
    <comment ref="C15" authorId="2" shapeId="0" xr:uid="{5DABF24C-F7F6-4498-BB7E-BFB15DB8540E}">
      <text>
        <t>[Threaded comment]
Your version of Excel allows you to read this threaded comment; however, any edits to it will get removed if the file is opened in a newer version of Excel. Learn more: https://go.microsoft.com/fwlink/?linkid=870924
Comment:
    Nach Andres Input zusammengefasst zu einem Eintrag.</t>
      </text>
    </comment>
    <comment ref="H28" authorId="3" shapeId="0" xr:uid="{738F5169-58A9-48F4-8196-48D2F743B5D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B29" authorId="4" shapeId="0" xr:uid="{B51E8FD0-2567-4557-B58E-1C6A56D9BFA3}">
      <text>
        <t>[Threaded comment]
Your version of Excel allows you to read this threaded comment; however, any edits to it will get removed if the file is opened in a newer version of Excel. Learn more: https://go.microsoft.com/fwlink/?linkid=870924
Comment:
    Umbenannt von „Developer Build Time“ to  „Local Build Time“ nach Andres Input.</t>
      </text>
    </comment>
    <comment ref="C29" authorId="5" shapeId="0" xr:uid="{E017DF4E-5656-4CEF-B774-80BA936A6D56}">
      <text>
        <t>[Threaded comment]
Your version of Excel allows you to read this threaded comment; however, any edits to it will get removed if the file is opened in a newer version of Excel. Learn more: https://go.microsoft.com/fwlink/?linkid=870924
Comment:
    „NextJS Page Compilation Duration“ ergänzt nach Andres Input.
Reply:
    „Application/Package Build Duration“ von Lattice nach Andres Input ergänzt.</t>
      </text>
    </comment>
    <comment ref="D29" authorId="6" shapeId="0" xr:uid="{8A92D669-9E50-4C59-82E5-97B139270D19}">
      <text>
        <t>[Threaded comment]
Your version of Excel allows you to read this threaded comment; however, any edits to it will get removed if the file is opened in a newer version of Excel. Learn more: https://go.microsoft.com/fwlink/?linkid=870924
Comment:
    Lattice von NextJS Page Compilation Duration</t>
      </text>
    </comment>
    <comment ref="C31" authorId="7" shapeId="0" xr:uid="{D1402E5C-7B54-496A-9313-5C695A9DF175}">
      <text>
        <t>[Threaded comment]
Your version of Excel allows you to read this threaded comment; however, any edits to it will get removed if the file is opened in a newer version of Excel. Learn more: https://go.microsoft.com/fwlink/?linkid=870924
Comment:
    Nach Input von Andre „Satisfaction“ und „Satisfaction with Engineering System“ integriert.</t>
      </text>
    </comment>
    <comment ref="D31" authorId="8" shapeId="0" xr:uid="{5A82E217-4A6B-46B7-9ADC-E64B4DF43DFC}">
      <text>
        <t>[Threaded comment]
Your version of Excel allows you to read this threaded comment; however, any edits to it will get removed if the file is opened in a newer version of Excel. Learn more: https://go.microsoft.com/fwlink/?linkid=870924
Comment:
    Postman hinzugefügt von Satisfaction</t>
      </text>
    </comment>
    <comment ref="B33" authorId="9" shapeId="0" xr:uid="{CD59760B-76A7-492D-B20B-A2D9CF3FBC59}">
      <text>
        <t>[Threaded comment]
Your version of Excel allows you to read this threaded comment; however, any edits to it will get removed if the file is opened in a newer version of Excel. Learn more: https://go.microsoft.com/fwlink/?linkid=870924
Comment:
    note that meta calls PRs/MRs diffs</t>
      </text>
    </comment>
    <comment ref="H34" authorId="10" shapeId="0" xr:uid="{121DA4BD-014E-470E-AB44-B9514592A80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C52" authorId="11" shapeId="0" xr:uid="{41A1A9E9-8671-443A-BC53-E9E6789FC6B2}">
      <text>
        <t>[Threaded comment]
Your version of Excel allows you to read this threaded comment; however, any edits to it will get removed if the file is opened in a newer version of Excel. Learn more: https://go.microsoft.com/fwlink/?linkid=870924
Comment:
    „Time to Restore Services“ ergänzt nach Andres Input.</t>
      </text>
    </comment>
    <comment ref="D52" authorId="12" shapeId="0" xr:uid="{D07C1F58-FF51-472F-B628-25B77946F3D6}">
      <text>
        <t>[Threaded comment]
Your version of Excel allows you to read this threaded comment; however, any edits to it will get removed if the file is opened in a newer version of Excel. Learn more: https://go.microsoft.com/fwlink/?linkid=870924
Comment:
    McKinsey Framework; Peloton ergänzt von Time to Restore Services</t>
      </text>
    </comment>
    <comment ref="B54" authorId="13" shapeId="0" xr:uid="{EF886BF9-B28D-42E1-9B64-C8A7E72E082A}">
      <text>
        <t>[Threaded comment]
Your version of Excel allows you to read this threaded comment; however, any edits to it will get removed if the file is opened in a newer version of Excel. Learn more: https://go.microsoft.com/fwlink/?linkid=870924
Comment:
    Name gekürzt nach Andres Input.</t>
      </text>
    </comment>
    <comment ref="H58" authorId="14" shapeId="0" xr:uid="{7C21EAC9-D7DB-489B-AFEF-DEF502EE6ECC}">
      <text>
        <t>[Threaded comment]
Your version of Excel allows you to read this threaded comment; however, any edits to it will get removed if the file is opened in a newer version of Excel. Learn more: https://go.microsoft.com/fwlink/?linkid=870924
Comment:
    Nach Andres Input von DevEx zu Business/HR gewechselt.</t>
      </text>
    </comment>
    <comment ref="H61" authorId="15" shapeId="0" xr:uid="{917C3D96-4AA9-4D8E-8F4B-AEDAD8831587}">
      <text>
        <t>[Threaded comment]
Your version of Excel allows you to read this threaded comment; however, any edits to it will get removed if the file is opened in a newer version of Excel. Learn more: https://go.microsoft.com/fwlink/?linkid=870924
Comment:
    Nach Andres Input von Business zu Quality verschoben.</t>
      </text>
    </comment>
    <comment ref="J69" authorId="16" shapeId="0" xr:uid="{FDDDF671-A2B6-4958-A032-5551C66219BE}">
      <text>
        <t>[Threaded comment]
Your version of Excel allows you to read this threaded comment; however, any edits to it will get removed if the file is opened in a newer version of Excel. Learn more: https://go.microsoft.com/fwlink/?linkid=870924
Comment:
    Von Knowledge Expansion zu Upskilling gewechselt.</t>
      </text>
    </comment>
    <comment ref="B75" authorId="17" shapeId="0" xr:uid="{9BD6282E-AAD8-44B3-94D7-6BADCF15D5F0}">
      <text>
        <t>[Threaded comment]
Your version of Excel allows you to read this threaded comment; however, any edits to it will get removed if the file is opened in a newer version of Excel. Learn more: https://go.microsoft.com/fwlink/?linkid=870924
Comment:
    Angepasst nach Andres Input. Zuvor „Quality“.</t>
      </text>
    </comment>
    <comment ref="C76" authorId="18" shapeId="0" xr:uid="{9ABBA003-3752-4178-8927-349ABCC5DB99}">
      <text>
        <t>[Threaded comment]
Your version of Excel allows you to read this threaded comment; however, any edits to it will get removed if the file is opened in a newer version of Excel. Learn more: https://go.microsoft.com/fwlink/?linkid=870924
Comment:
    Nach Andres Kommentar zu einer Metrik zusammengefasst.</t>
      </text>
    </comment>
    <comment ref="H76" authorId="19" shapeId="0" xr:uid="{2F0223C9-C77F-4AA1-8A90-F4A399ADDA2A}">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B77" authorId="20" shapeId="0" xr:uid="{80D5B2BD-D0F6-4AB8-8017-59A06F6C1C9C}">
      <text>
        <t>[Threaded comment]
Your version of Excel allows you to read this threaded comment; however, any edits to it will get removed if the file is opened in a newer version of Excel. Learn more: https://go.microsoft.com/fwlink/?linkid=870924
Comment:
    Name angepasst nach Andres Input. Ursprünglich „Quality of Reviews of Work Contributed by Team Members“</t>
      </text>
    </comment>
    <comment ref="C80" authorId="21" shapeId="0" xr:uid="{45640671-D7E4-4EA6-9099-D4E52C010FD7}">
      <text>
        <t>[Threaded comment]
Your version of Excel allows you to read this threaded comment; however, any edits to it will get removed if the file is opened in a newer version of Excel. Learn more: https://go.microsoft.com/fwlink/?linkid=870924
Comment:
    Nach Andres Input Availability hinzugefügt.</t>
      </text>
    </comment>
    <comment ref="H85" authorId="22" shapeId="0" xr:uid="{EB733AEE-2F18-46F9-8A7B-0CA9B6B32FFC}">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C90" authorId="23" shapeId="0" xr:uid="{C9FB5614-C3E5-4863-BFB7-AAB3A42EAACD}">
      <text>
        <t>[Threaded comment]
Your version of Excel allows you to read this threaded comment; however, any edits to it will get removed if the file is opened in a newer version of Excel. Learn more: https://go.microsoft.com/fwlink/?linkid=870924
Comment:
    Nach Andres Input. Production Incidents und System Uptime / Availability hinzugefügt.</t>
      </text>
    </comment>
    <comment ref="F90" authorId="24" shapeId="0" xr:uid="{FCC3DA67-C366-4123-AE95-236C8FC56568}">
      <text>
        <t>[Threaded comment]
Your version of Excel allows you to read this threaded comment; however, any edits to it will get removed if the file is opened in a newer version of Excel. Learn more: https://go.microsoft.com/fwlink/?linkid=870924
Comment:
    Nach Andres Input angepasst.</t>
      </text>
    </comment>
    <comment ref="H91" authorId="25" shapeId="0" xr:uid="{24A13EBD-8030-4299-B820-E3DBAA902DCC}">
      <text>
        <t>[Threaded comment]
Your version of Excel allows you to read this threaded comment; however, any edits to it will get removed if the file is opened in a newer version of Excel. Learn more: https://go.microsoft.com/fwlink/?linkid=870924
Comment:
    Nach Andres Anregung von Business zu DevEx/Upskilling gewechselt.</t>
      </text>
    </comment>
    <comment ref="C92" authorId="26" shapeId="0" xr:uid="{65177E12-2939-4BCC-8B47-DB95E81C94F5}">
      <text>
        <t>[Threaded comment]
Your version of Excel allows you to read this threaded comment; however, any edits to it will get removed if the file is opened in a newer version of Excel. Learn more: https://go.microsoft.com/fwlink/?linkid=870924
Comment:
    Zusammengefasst nach Andres Input</t>
      </text>
    </comment>
    <comment ref="F94" authorId="27" shapeId="0" xr:uid="{35A9EE27-ABF3-44C5-B07F-C1029F352D07}">
      <text>
        <t>[Threaded comment]
Your version of Excel allows you to read this threaded comment; however, any edits to it will get removed if the file is opened in a newer version of Excel. Learn more: https://go.microsoft.com/fwlink/?linkid=870924
Comment:
    Definition ausgeweitet.</t>
      </text>
    </comment>
  </commentList>
</comments>
</file>

<file path=xl/sharedStrings.xml><?xml version="1.0" encoding="utf-8"?>
<sst xmlns="http://schemas.openxmlformats.org/spreadsheetml/2006/main" count="1175" uniqueCount="619">
  <si>
    <t>id</t>
  </si>
  <si>
    <t>Name</t>
  </si>
  <si>
    <t>AlsoKnownAs</t>
  </si>
  <si>
    <t>Definition</t>
  </si>
  <si>
    <t>Qual vs. quant</t>
  </si>
  <si>
    <t>Cardsort Group</t>
  </si>
  <si>
    <t>Cardsort Group ID</t>
  </si>
  <si>
    <t>Cardsort Subgroup</t>
  </si>
  <si>
    <t>Cardsort Subgroup ID</t>
  </si>
  <si>
    <t>IS_Research</t>
  </si>
  <si>
    <t>IS_BigCompany</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</si>
  <si>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</si>
  <si>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</si>
  <si>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</si>
  <si>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</si>
  <si>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</si>
  <si>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</si>
  <si>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</si>
  <si>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</si>
  <si>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</si>
  <si>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</si>
  <si>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</si>
  <si>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</si>
  <si>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</si>
  <si>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</si>
  <si>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Average Focus Time per Engineer</t>
  </si>
  <si>
    <t>The average focus time without interruptions per engineer.</t>
  </si>
  <si>
    <t>Focus Work</t>
  </si>
  <si>
    <t>Branch Creation to Master Merge Time</t>
  </si>
  <si>
    <t>The time elapsed between branch creation until master merge.</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</si>
  <si>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</si>
  <si>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</si>
  <si>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</si>
  <si>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</si>
  <si>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</si>
  <si>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</si>
  <si>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</si>
  <si>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The percentage of changes that result in degraded service or require remediation (e.g., lead to service impairment or outage, require a hotfix, rollback, fix forward, or patch).</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</si>
  <si>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</si>
  <si>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</si>
  <si>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</si>
  <si>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</si>
  <si>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</si>
  <si>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</si>
  <si>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</si>
  <si>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</si>
  <si>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CI Pipeline P50 Build Time</t>
  </si>
  <si>
    <t>Refers to the median duration of successful builds in a continuous integration (CI) pipeline, representing the time by which 50% of builds complete. It is calculated by ordering all successful build durations and selecting the middle value, providing a reliable measure of typical performance while filtering out outliers.</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</si>
  <si>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</si>
  <si>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</si>
  <si>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</si>
  <si>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</si>
  <si>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</si>
  <si>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</si>
  <si>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</si>
  <si>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</si>
  <si>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Code Churn and Rework</t>
  </si>
  <si>
    <t>Is the percentage of code changes that modify recently changed code.</t>
  </si>
  <si>
    <t>Produced Code</t>
  </si>
  <si>
    <t>Tracks contributions to the codebase (e.g., commits, PRs).</t>
  </si>
  <si>
    <t>DevOutput</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</si>
  <si>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</si>
  <si>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</si>
  <si>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</si>
  <si>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</si>
  <si>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</si>
  <si>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</si>
  <si>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</si>
  <si>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</si>
  <si>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</si>
  <si>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</si>
  <si>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</si>
  <si>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</si>
  <si>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</si>
  <si>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</si>
  <si>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</si>
  <si>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</si>
  <si>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</si>
  <si>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</si>
  <si>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Customer-Reported Defects</t>
  </si>
  <si>
    <t>Bugs found by customers in production.</t>
  </si>
  <si>
    <t>Measures the time from code commit to code running in production. Shows how quickly team can respond to business needs.</t>
  </si>
  <si>
    <t>Deep Work</t>
  </si>
  <si>
    <t>GoodRx</t>
  </si>
  <si>
    <t>Measures the percentage of uninterrupted, meeting-free blocks of time that allow developers to enter a flow state and concentrate deeply on their work.</t>
  </si>
  <si>
    <t>Defects</t>
  </si>
  <si>
    <t>The number of errors or failures in the software, which indicates the quality of the delivered value.</t>
  </si>
  <si>
    <t>Deployment Frequency</t>
  </si>
  <si>
    <t>How often an organization deploys code to production or releases it to end users.</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</si>
  <si>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</si>
  <si>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</si>
  <si>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</si>
  <si>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</si>
  <si>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</si>
  <si>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</si>
  <si>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</si>
  <si>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</si>
  <si>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</si>
  <si>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</si>
  <si>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Measures the time, in seconds, developers spend waiting for their builds to finish locally during development. Impacts developer flow and productivity.</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</si>
  <si>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</si>
  <si>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</si>
  <si>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</si>
  <si>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</si>
  <si>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</si>
  <si>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</si>
  <si>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</si>
  <si>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</si>
  <si>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</si>
  <si>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Aims to capture all active human developertime spent on a particular diff, split by the different roles involved. This information is made available in a privacy-aware manner. Active human work on a computer tends to be highly sequential, even if such individual sequences can be extremely short.</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</si>
  <si>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</si>
  <si>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</si>
  <si>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</si>
  <si>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</si>
  <si>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</si>
  <si>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</si>
  <si>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</si>
  <si>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</si>
  <si>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</si>
  <si>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</si>
  <si>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</si>
  <si>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</si>
  <si>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</si>
  <si>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</si>
  <si>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</si>
  <si>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</si>
  <si>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The average time it takes to restore service when a software change causes an outage or service failure in production.</t>
  </si>
  <si>
    <t>Failure Recovery</t>
  </si>
  <si>
    <t>Feedback Loops</t>
  </si>
  <si>
    <t>The speed and quality of responses to developer actions.</t>
  </si>
  <si>
    <t>Collaboration</t>
  </si>
  <si>
    <t>Flow State</t>
  </si>
  <si>
    <t>The ability to work with focus and enjoyment.</t>
  </si>
  <si>
    <t>Flow Through the System</t>
  </si>
  <si>
    <t>Measures the velocity of the system.</t>
  </si>
  <si>
    <t>Handoffs</t>
  </si>
  <si>
    <t>Measures the number of handoffs in the process.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</si>
  <si>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</si>
  <si>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</si>
  <si>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</si>
  <si>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DXI Framework</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</si>
  <si>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</si>
  <si>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</si>
  <si>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To identify specific areas for improvement, it’s helpful to think of the activities involved in software development as being arranged in two loops. An inner loop comprises activities directly related to creating the product: coding, building, and unit testing. An outer loop comprises other tasks developers must do to push their code to production: integration, integration testing, releasing, and deployment. From both a productivity and personal-experience standpoint, maximizing the amount of time developers spend in the inner loop is desirable: building products directly generates value and is what most developers are excited to do. Outer-loop activities are seen by most developers as necessary but generally unsatisfying chores. Putting time into better tooling and automation for the outer loop allows developers to spend more time on inner-loop activities.</t>
  </si>
  <si>
    <t>Interruptions</t>
  </si>
  <si>
    <t>Measures the number of interruptions.</t>
  </si>
  <si>
    <t>Upskilling</t>
  </si>
  <si>
    <t>Lead Time</t>
  </si>
  <si>
    <t>Lead Time for Changes</t>
  </si>
  <si>
    <t>The time it takes to go from code committed to code successfully running in production.
Measures the time between code commit and the start of the release to determine how long it takes to deliver value to your customers.</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</si>
  <si>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</si>
  <si>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</si>
  <si>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</si>
  <si>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</si>
  <si>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</si>
  <si>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</si>
  <si>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</si>
  <si>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</si>
  <si>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</si>
  <si>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Connection Graph</t>
  </si>
  <si>
    <t>Network metrics that show who is connected to whom and how.</t>
  </si>
  <si>
    <t>Number of Deployments</t>
  </si>
  <si>
    <t>Measures the number of deployments.</t>
  </si>
  <si>
    <t>Number of Escaped Bugs</t>
  </si>
  <si>
    <t>Tracks the number of defects or issues that escape testing and reach production. It measures the effectiveness of testing processes and helps identify weaknesses in quality assurance .</t>
  </si>
  <si>
    <t>Number of Handoffs in a Process</t>
  </si>
  <si>
    <t>Tracks how many times work is transferred between individuals, teams, or systems during a workflow.</t>
  </si>
  <si>
    <t>Onboarding Time for New Members</t>
  </si>
  <si>
    <t>Measures the onboarding time for new members.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</si>
  <si>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</si>
  <si>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</si>
  <si>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</si>
  <si>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</si>
  <si>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Efficiency</t>
  </si>
  <si>
    <t>Measures how effectively a software team or system uses resources. It focuses on optimizing workflows, reducing bottlenecks, and improving performance.</t>
  </si>
  <si>
    <t>Operational Excellence</t>
  </si>
  <si>
    <t>The ability of a software development team to consistently deliver high-quality software, maintain system reliability, and optimize processes while continuously improving efficiency.</t>
  </si>
  <si>
    <t>Operational Health and Security Metrics</t>
  </si>
  <si>
    <t>Metrics that track system performance, reliability, and efficiency in production.</t>
  </si>
  <si>
    <t>Perceived Ability to Stay in Flow</t>
  </si>
  <si>
    <t>The perceived ability to work without interruption on a task.</t>
  </si>
  <si>
    <t>Perceived Productivity</t>
  </si>
  <si>
    <t>Self-reported Productivity</t>
  </si>
  <si>
    <t>The perceived productivity by an individual.</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</si>
  <si>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</si>
  <si>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</si>
  <si>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</si>
  <si>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</si>
  <si>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PRs under 250 lines</t>
  </si>
  <si>
    <t>The percentage of PRs under 250 lines. A higher percentage indicates that most PRs are relatively small, which is generally considered beneficial because smaller PRs are easier to review, less likely to introduce defects, and can be merged more quickly.</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</si>
  <si>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</si>
  <si>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</si>
  <si>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</si>
  <si>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</si>
  <si>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</si>
  <si>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Post-Commit CI Speed</t>
  </si>
  <si>
    <t>Measures how long it takes, in minutes, for each commit to get through the continuous integration (CI) pipeline.</t>
  </si>
  <si>
    <t>Pull Request Cycle Time</t>
  </si>
  <si>
    <t>Measures the total time a pull request spends in all stages of the development pipeline, from the first commit to when the pull request is merged into the codebase. It provides insights into the efficiency of the code review and merging process, helping teams identify bottlenecks and improve workflows.</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</si>
  <si>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</si>
  <si>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</si>
  <si>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</si>
  <si>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An indicator of overall efficiency. Small PRs mean faster pickup time, reviews, and cycles–translating to faster time to value.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</si>
  <si>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</si>
  <si>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</si>
  <si>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</si>
  <si>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</si>
  <si>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</si>
  <si>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</si>
  <si>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</si>
  <si>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</si>
  <si>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</si>
  <si>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How often features reach users.</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</si>
  <si>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</si>
  <si>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</si>
  <si>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</si>
  <si>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</si>
  <si>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</si>
  <si>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</si>
  <si>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</si>
  <si>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</si>
  <si>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</si>
  <si>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</si>
  <si>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</si>
  <si>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</si>
  <si>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</si>
  <si>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Allows users to resolve issues without needing to rely on IT support.</t>
  </si>
  <si>
    <t>Sentiment</t>
  </si>
  <si>
    <t>Sentiment and Quantitative Metrics for 16+ DevEx Factors</t>
  </si>
  <si>
    <t>Developers’ emotional responses and perceptions of their interactions with tools, documentation, and workflows. It focuses on how developers feel about using the platform and whether they find it empowering, frustrating, or aligned with their goals.</t>
  </si>
  <si>
    <t>Service Uptime and Deployment Speed Metrics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</si>
  <si>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</si>
  <si>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</si>
  <si>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</si>
  <si>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Sprint Velocity</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</si>
  <si>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</si>
  <si>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</si>
  <si>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</si>
  <si>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</si>
  <si>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</si>
  <si>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</si>
  <si>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Task Completion</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</si>
  <si>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</si>
  <si>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</si>
  <si>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</si>
  <si>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</si>
  <si>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</si>
  <si>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</si>
  <si>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</si>
  <si>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</si>
  <si>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</si>
  <si>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</si>
  <si>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</si>
  <si>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</si>
  <si>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</si>
  <si>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</si>
  <si>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</si>
  <si>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</si>
  <si>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</si>
  <si>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</si>
  <si>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Time to Xth Pull Request</t>
  </si>
  <si>
    <t>Time to 10th PR; Time to 1st and 10th PR; Time to First Commit</t>
  </si>
  <si>
    <t xml:space="preserve">Is a metric that measures the time it takes for a new engineer to create their 1st and 10th pull request (PR) after joining a development team or platform (e.g., GitHub). </t>
  </si>
  <si>
    <t>Weekly Deployments per Weekly Active Developer</t>
  </si>
  <si>
    <t>Spotify</t>
  </si>
  <si>
    <t>Measures the amount of weekly deployments per weekly active developer.</t>
  </si>
  <si>
    <t>Weekly Number of Code Reviews per Developer</t>
  </si>
  <si>
    <t>Uber</t>
  </si>
  <si>
    <t>The weekly number of code reviews per engineer.</t>
  </si>
  <si>
    <t>Weekly Number of Design DOCs Generated per Developer</t>
  </si>
  <si>
    <t>The weekly number of design documents generated per engineer.</t>
  </si>
  <si>
    <t>Weekly Number of Diffs / PR per Developer</t>
  </si>
  <si>
    <t>The weekly Number of diffs / Pull Requests per developer.</t>
  </si>
  <si>
    <t>Weekly Time Loss</t>
  </si>
  <si>
    <t>Is a metric that quantifies the amount of developer time lost each week due to various inefficiencies, such as outdated tools, unclear requirements, excessive meetings, frequent context switching, or technical debt. It highlights the impact of these obstacles on productive coding and overall job satisfaction.</t>
  </si>
  <si>
    <t>Company</t>
  </si>
  <si>
    <t>Research</t>
  </si>
  <si>
    <t>SPACE Framework</t>
  </si>
  <si>
    <t>Microsoft (Azure)</t>
  </si>
  <si>
    <t>chime</t>
  </si>
  <si>
    <t>Av. Weekly Focus Time per Engineer; Avg. Number of Days with Sufficient Focus Time; Focus Time and Interruption Metrics; Uninterrupted Focus Time</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</si>
  <si>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</si>
  <si>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</si>
  <si>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</si>
  <si>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</si>
  <si>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</si>
  <si>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</si>
  <si>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Developer Build Time (P50 and P90); Build Time; NextJS Page Compilation Duration; Application/Package Build Duration; Build Time Efficiency</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</si>
  <si>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t>
  </si>
  <si>
    <t>Diff Authoring Time (DAT); Diffs per Engineer (PRs or MRs); Commits Performed by Time; Time Spent per Task; Commit Count, Implementation Time per User Story; Task Completion Time; Coding Time; Time to Commit per LOC Changed</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</si>
  <si>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</si>
  <si>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</si>
  <si>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</si>
  <si>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</si>
  <si>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</si>
  <si>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</si>
  <si>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</si>
  <si>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</si>
  <si>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</si>
  <si>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New Security Vulnerabilities Introduced</t>
  </si>
  <si>
    <t>Number of Spikes Executed</t>
  </si>
  <si>
    <t>Unit Test Quality; Code Quality; Process Quality; System Quality</t>
  </si>
  <si>
    <t>Self-Service Documentation; Written Communication Effectiveness Through Design Documents</t>
  </si>
  <si>
    <t>Release Count</t>
  </si>
  <si>
    <t>Employment Retention</t>
  </si>
  <si>
    <t>Production Downtime; Deployment Time</t>
  </si>
  <si>
    <t>Velocity; Developer Velocity</t>
  </si>
  <si>
    <t>Technical Debt</t>
  </si>
  <si>
    <t>Number of Comments Left; PR Review Comments and Requests for Changes</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</si>
  <si>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</si>
  <si>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</si>
  <si>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</si>
  <si>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</si>
  <si>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</si>
  <si>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</si>
  <si>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</si>
  <si>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</si>
  <si>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</si>
  <si>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</si>
  <si>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</si>
  <si>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</si>
  <si>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</si>
  <si>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</si>
  <si>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</si>
  <si>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Time to Release; Feature Delivery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</si>
  <si>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</si>
  <si>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</si>
  <si>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</si>
  <si>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</si>
  <si>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</si>
  <si>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</si>
  <si>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</si>
  <si>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</si>
  <si>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</si>
  <si>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</si>
  <si>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</si>
  <si>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</si>
  <si>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</si>
  <si>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</si>
  <si>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</si>
  <si>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</si>
  <si>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</si>
  <si>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</si>
  <si>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</si>
  <si>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</si>
  <si>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</si>
  <si>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</si>
  <si>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</si>
  <si>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</si>
  <si>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</si>
  <si>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</si>
  <si>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</si>
  <si>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</si>
  <si>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</si>
  <si>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</si>
  <si>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</si>
  <si>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</si>
  <si>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</si>
  <si>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</si>
  <si>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</si>
  <si>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</si>
  <si>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</si>
  <si>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</si>
  <si>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</si>
  <si>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</si>
  <si>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</si>
  <si>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</si>
  <si>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</si>
  <si>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</si>
  <si>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</si>
  <si>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</si>
  <si>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</si>
  <si>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</si>
  <si>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</si>
  <si>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</si>
  <si>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</si>
  <si>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</si>
  <si>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</si>
  <si>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</si>
  <si>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</si>
  <si>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</si>
  <si>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</si>
  <si>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</si>
  <si>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</si>
  <si>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</si>
  <si>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</si>
  <si>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</si>
  <si>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</si>
  <si>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</si>
  <si>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</si>
  <si>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</si>
  <si>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</si>
  <si>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</si>
  <si>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</si>
  <si>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</si>
  <si>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</si>
  <si>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</si>
  <si>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</si>
  <si>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</si>
  <si>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</si>
  <si>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</si>
  <si>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</si>
  <si>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</si>
  <si>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</si>
  <si>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</si>
  <si>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</si>
  <si>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</si>
  <si>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</si>
  <si>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</si>
  <si>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inorigin (2025)</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</si>
  <si>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</si>
  <si>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</si>
  <si>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</si>
  <si>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</si>
  <si>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</si>
  <si>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</si>
  <si>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</si>
  <si>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</si>
  <si>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</si>
  <si>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</si>
  <si>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</si>
  <si>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</si>
  <si>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</si>
  <si>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Storey and Treude (2019)</t>
  </si>
  <si>
    <t>https://doi.org/10.1007/978-1-4842-4221-6_16</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</si>
  <si>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</si>
  <si>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</si>
  <si>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</si>
  <si>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</si>
  <si>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</si>
  <si>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</si>
  <si>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</si>
  <si>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</si>
  <si>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</si>
  <si>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</si>
  <si>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</si>
  <si>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</si>
  <si>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</si>
  <si>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</si>
  <si>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https://www.mckinsey.com/industries/technology-media-and-telecommunications/our-insights/yes-you-can-measure-software-developer-productivity#/</t>
  </si>
  <si>
    <t>https://learn.microsoft.com/en-us/assessments/e50f7040-f235-4360-9d1d-cf753e12fed1/</t>
  </si>
  <si>
    <t>https://www.eebo.org/eebo-metrics-emergence.html</t>
  </si>
  <si>
    <t>241; 32</t>
  </si>
  <si>
    <t>506; 15</t>
  </si>
  <si>
    <t>501b</t>
  </si>
  <si>
    <t>501c</t>
  </si>
  <si>
    <t>501b; 501c; 501e; 501d</t>
  </si>
  <si>
    <t>501g</t>
  </si>
  <si>
    <t>501g; 170</t>
  </si>
  <si>
    <t>202a</t>
  </si>
  <si>
    <t>501h</t>
  </si>
  <si>
    <t>501i</t>
  </si>
  <si>
    <t>501k</t>
  </si>
  <si>
    <t>501j; 501l</t>
  </si>
  <si>
    <t>501l</t>
  </si>
  <si>
    <t>501m</t>
  </si>
  <si>
    <t>501n</t>
  </si>
  <si>
    <t>503; 501</t>
  </si>
  <si>
    <t>160; 501</t>
  </si>
  <si>
    <t>503; 506; 241; 501</t>
  </si>
  <si>
    <t>31; 501</t>
  </si>
  <si>
    <t>9; 192; 32; 131</t>
  </si>
  <si>
    <t>501m; 131e;</t>
  </si>
  <si>
    <t>105; 501; 131</t>
  </si>
  <si>
    <t>131q; 131r</t>
  </si>
  <si>
    <t>131m; 131n</t>
  </si>
  <si>
    <t>9; 235; 241; 501; 131</t>
  </si>
  <si>
    <t>501; 131</t>
  </si>
  <si>
    <t>501m; 131l</t>
  </si>
  <si>
    <t>31; 131</t>
  </si>
  <si>
    <t>131b; 131l</t>
  </si>
  <si>
    <t>508; 501; 131</t>
  </si>
  <si>
    <t>70; 131</t>
  </si>
  <si>
    <t>131f; 131g</t>
  </si>
  <si>
    <t>105; 234; 235; 131</t>
  </si>
  <si>
    <t>9; 202</t>
  </si>
  <si>
    <t>131k</t>
  </si>
  <si>
    <t>501o</t>
  </si>
  <si>
    <t>509; 7; 14; 31; 49; 52; 57; 96;108; 192; 234; 32; 131</t>
  </si>
  <si>
    <t>509; 505</t>
  </si>
  <si>
    <t>509; 9</t>
  </si>
  <si>
    <t>509; 501</t>
  </si>
  <si>
    <t>504; 214</t>
  </si>
  <si>
    <t>504; 11; 96;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</si>
  <si>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</si>
  <si>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</si>
  <si>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</si>
  <si>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</si>
  <si>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</si>
  <si>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</si>
  <si>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</si>
  <si>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</si>
  <si>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</si>
  <si>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</si>
  <si>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</si>
  <si>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</si>
  <si>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</si>
  <si>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</si>
  <si>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stripe</t>
  </si>
  <si>
    <t>131a</t>
  </si>
  <si>
    <t>Dropbox</t>
  </si>
  <si>
    <t>131b</t>
  </si>
  <si>
    <t>Netflix</t>
  </si>
  <si>
    <t>131c</t>
  </si>
  <si>
    <t>Twitter</t>
  </si>
  <si>
    <t>131d</t>
  </si>
  <si>
    <t>Mozilla</t>
  </si>
  <si>
    <t>131e</t>
  </si>
  <si>
    <t>131f</t>
  </si>
  <si>
    <t>SonarSource</t>
  </si>
  <si>
    <t>131g</t>
  </si>
  <si>
    <t>Square</t>
  </si>
  <si>
    <t>131h</t>
  </si>
  <si>
    <t>131i</t>
  </si>
  <si>
    <t>131j</t>
  </si>
  <si>
    <t>Amazon (AWS)</t>
  </si>
  <si>
    <t>131l</t>
  </si>
  <si>
    <t>Facebook (Meta)</t>
  </si>
  <si>
    <t>131m</t>
  </si>
  <si>
    <t>Adobe</t>
  </si>
  <si>
    <t>131n</t>
  </si>
  <si>
    <t>Salesforce</t>
  </si>
  <si>
    <t>131o</t>
  </si>
  <si>
    <t>131p</t>
  </si>
  <si>
    <t>used widely</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</si>
  <si>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</si>
  <si>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</si>
  <si>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</si>
  <si>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</si>
  <si>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</si>
  <si>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</si>
  <si>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</si>
  <si>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</si>
  <si>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</si>
  <si>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</si>
  <si>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</si>
  <si>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</si>
  <si>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</si>
  <si>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Coding Behaviors</t>
  </si>
  <si>
    <t>Is a metric that shows  the availability of career advancement opportunities.</t>
  </si>
  <si>
    <t>Metrics related to behaviors in the coding process (e.g., speed of correcting syntactical errors).</t>
  </si>
  <si>
    <t>Metrics related to complexity of methods or tasks in the coding process.</t>
  </si>
  <si>
    <t>Number of companies</t>
  </si>
  <si>
    <t>Number of research</t>
  </si>
  <si>
    <t>telemetry/log-based</t>
  </si>
  <si>
    <t>survey-based</t>
  </si>
  <si>
    <t>Developer Enablement</t>
  </si>
  <si>
    <t>value</t>
  </si>
  <si>
    <t>240; 6; 501;183;</t>
  </si>
  <si>
    <t>6a</t>
  </si>
  <si>
    <t>501n; 501j; 6a</t>
  </si>
  <si>
    <t>32a</t>
  </si>
  <si>
    <t>131l; 32a</t>
  </si>
  <si>
    <t>131s; 131t; 32a</t>
  </si>
  <si>
    <t>5a</t>
  </si>
  <si>
    <t>501c; 501l; 501b; 501e; 501g; 501d; 5a</t>
  </si>
  <si>
    <t>509; 5; 160; 501; 115; 146; 183</t>
  </si>
  <si>
    <t>501b; 5a</t>
  </si>
  <si>
    <t xml:space="preserve">5; 501; 115; 183; </t>
  </si>
  <si>
    <t>501m; 5a</t>
  </si>
  <si>
    <t>503; 9; 17; 5; 115; 501; 115; 183; 182</t>
  </si>
  <si>
    <t>202a; 131i; 131g</t>
  </si>
  <si>
    <t>509; 131; 202; 146</t>
  </si>
  <si>
    <t>501b; 501d</t>
  </si>
  <si>
    <t>160; 501; 146</t>
  </si>
  <si>
    <t>501a; 501b; 501k</t>
  </si>
  <si>
    <t>501c; 131h; 501g; 202a</t>
  </si>
  <si>
    <t>509; 505; 506; 508; 9; 160; 501; 131; 202; 183; 146</t>
  </si>
  <si>
    <t>170; 146b; 131l</t>
  </si>
  <si>
    <t>506; 131; 146; 183; 146</t>
  </si>
  <si>
    <t>170; 131c; 131o; 201</t>
  </si>
  <si>
    <t>50; 234; 131; 146</t>
  </si>
  <si>
    <t>509; 506;  503; 43; 96; 202; 235; 5; 6; 160; 501; 131; 183; 146</t>
  </si>
  <si>
    <t>501; 146</t>
  </si>
  <si>
    <t>501o; 131a; 131d; 131m; 202a</t>
  </si>
  <si>
    <t>508; 506; 9; 50; 160; 131; 202; 182; 146</t>
  </si>
  <si>
    <t>509; 505; 506; 508; 9; 160; 202; 146</t>
  </si>
  <si>
    <t>20a</t>
  </si>
  <si>
    <t>503; 7; 13; 15; 31; 36; 46; 47; 49; 51; 52; 92; 101; 111; 233; 237; 20; 32; 501; 131; 232</t>
  </si>
  <si>
    <t>506; 501; 183</t>
  </si>
  <si>
    <t>183a; 209</t>
  </si>
  <si>
    <t>50; 183</t>
  </si>
  <si>
    <t>501n; 501j; 209</t>
  </si>
  <si>
    <t>9; 36; 52; 62; 240; 243; 244; 160; 501; 183</t>
  </si>
  <si>
    <t>501; 183</t>
  </si>
  <si>
    <t>503; 501; 183</t>
  </si>
  <si>
    <t>506; 508; 183</t>
  </si>
  <si>
    <t>9; 57; 183</t>
  </si>
  <si>
    <t>505; 506; 509; 508; 9; 96; 160; 501; 131; 202; 146; 182</t>
  </si>
  <si>
    <t>146b; 131k; 131b; 202a; 501k; 146a; 209</t>
  </si>
  <si>
    <t>232a</t>
  </si>
  <si>
    <t>501k; 131e; 199; 232a</t>
  </si>
  <si>
    <t>105; 501; 131; 232</t>
  </si>
  <si>
    <t>506; 9; 13; 15; 45; 87; 233; 235; 236; 237; 238; 232</t>
  </si>
  <si>
    <t>508; 237; 232</t>
  </si>
  <si>
    <t>9; 21; 51; 92; 96; 101; 105; 237; 232</t>
  </si>
  <si>
    <t>https://github.blog/news-insights/research/research-how-github-copilot-helps-improve-developer-productivity/</t>
  </si>
  <si>
    <t>Meyer et al. (2014)</t>
  </si>
  <si>
    <t>501e; 501d; 501k; 5a; 203</t>
  </si>
  <si>
    <t>5; 160; 501; 19; 39</t>
  </si>
  <si>
    <t>501m; 131p; 32a; 232a</t>
  </si>
  <si>
    <t>Meyer et al. (2017)</t>
  </si>
  <si>
    <t>https://slack.engineering/mobile-developer-experience-at-slack/</t>
  </si>
  <si>
    <t>Slack</t>
  </si>
  <si>
    <t>501l;  501a;  202a; 501m; 501i; 501f; 501h; 170; 501d; 6a; 510</t>
  </si>
  <si>
    <t>Stability; Stability (CFR and MTTR); Stability of Services/Apps; Production Incidents; System Uptime / Availability; CI Stability</t>
  </si>
  <si>
    <t>501b; 501a; 131k; 131j; 510</t>
  </si>
  <si>
    <t>Time From Creating a Patch to Patch Release; Time to Value; Time to Merge (TTM)</t>
  </si>
  <si>
    <t>501m; 131i; 501d; 209;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</si>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</sst>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z val="10"/>
      <color rgb="FF333333"/>
      <name val="Arial"/>
      <family val="2"/>
    </font>
    <font>
      <strike/>
      <sz val="11"/>
      <color theme="1"/>
      <name val="Calibri"/>
      <family val="2"/>
      <scheme val="minor"/>
    </font>
  </fonts>
  <fills count="5">
    <fill>
      <patternFill patternType="none"/>
    </fill>
    <fill>
      <patternFill patternType="gray125"/>
    </fill>
    <fill>
      <patternFill patternType="solid">
        <fgColor theme="9" tint="0.39997558519241921"/>
        <bgColor indexed="64"/>
      </patternFill>
    </fill>
    <fill>
      <patternFill patternType="solid">
        <fgColor theme="7"/>
        <bgColor indexed="64"/>
      </patternFill>
    </fill>
    <fill>
      <patternFill patternType="solid">
        <fgColor theme="2"/>
        <bgColor indexed="64"/>
      </patternFill>
    </fill>
  </fills>
  <borders count="1">
    <border>
      <left/>
      <right/>
      <top/>
      <bottom/>
      <diagonal/>
    </border>
  </borders>
  <cellStyleXfs count="1">
    <xf numFmtId="0" fontId="0" fillId="0" borderId="0"/>
  </cellStyleXfs>
  <cellXfs count="18">
    <xf numFmtId="0" fontId="0" fillId="0" borderId="0" xfId="0"/>
    <xf numFmtId="0" fontId="1" fillId="0" borderId="0" xfId="0" applyFont="1" applyAlignment="1">
      <alignment vertical="top"/>
    </xf>
    <xf numFmtId="0" fontId="1" fillId="0" borderId="0" xfId="0" applyFont="1" applyAlignment="1">
      <alignment vertical="top" wrapText="1"/>
    </xf>
    <xf numFmtId="0" fontId="1" fillId="2" borderId="0" xfId="0" applyFont="1" applyFill="1" applyAlignment="1">
      <alignment vertical="top"/>
    </xf>
    <xf numFmtId="0" fontId="1" fillId="2" borderId="0" xfId="0" applyFont="1" applyFill="1" applyAlignment="1">
      <alignment vertical="top" wrapText="1"/>
    </xf>
    <xf numFmtId="0" fontId="1" fillId="3" borderId="0" xfId="0" applyFont="1" applyFill="1" applyAlignment="1">
      <alignment vertical="top"/>
    </xf>
    <xf numFmtId="0" fontId="1" fillId="4" borderId="0" xfId="0" applyFont="1" applyFill="1" applyAlignment="1">
      <alignment vertical="top"/>
    </xf>
    <xf numFmtId="0" fontId="0" fillId="0" borderId="0" xfId="0" applyAlignment="1">
      <alignment vertical="top"/>
    </xf>
    <xf numFmtId="0" fontId="0" fillId="0" borderId="0" xfId="0" applyAlignment="1">
      <alignment vertical="top" wrapText="1"/>
    </xf>
    <xf numFmtId="0" fontId="0" fillId="4" borderId="0" xfId="0" applyFill="1" applyAlignment="1">
      <alignment vertical="top"/>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xf>
    <xf numFmtId="0" fontId="3" fillId="0" borderId="0" xfId="0" applyFont="1" applyAlignment="1">
      <alignment vertical="top" wrapText="1"/>
    </xf>
    <xf numFmtId="0" fontId="2" fillId="0" borderId="0" xfId="0" applyFont="1" applyAlignment="1">
      <alignment vertical="top"/>
    </xf>
    <xf numFmtId="0" fontId="0" fillId="0" borderId="0" xfId="0" applyAlignment="1">
      <alignment wrapText="1"/>
    </xf>
    <xf numFmtId="0" fontId="4" fillId="0" borderId="0" xfId="0" applyFont="1"/>
    <xf numFmtId="0" fontId="5" fillId="0" borderId="0" xfId="0" applyFont="1"/>
  </cellXfs>
  <cellStyles count="1">
    <cellStyle name="Normal" xfId="0" builtinId="0"/>
  </cellStyles>
  <dxfs count="39">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Patrick Meyer" id="{2315245B-EC09-46AB-A06E-DE769C358132}" userId="S::patrick.meyer@oec.uzh.ch::70537bee-da28-4c70-a2c9-3c1febc86743" providerId="AD"/>
  <person displayName="André Meyer" id="{9D9142B8-11C7-4802-A1A1-66D498664CB5}" userId="S::andre.meyer@access.uzh.ch::3b573077-43ef-44d1-acd0-87895ce1f23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2" dT="2025-06-02T18:30:48.15" personId="{2315245B-EC09-46AB-A06E-DE769C358132}" id="{F5E482B5-41C4-49D6-9F4E-4D4BE193AF28}">
    <text>Nach Andres Input von Business zu Process geändert.</text>
  </threadedComment>
  <threadedComment ref="B15" dT="2025-05-23T08:50:23.62" personId="{2315245B-EC09-46AB-A06E-DE769C358132}" id="{2443806D-D89D-4F46-8BFE-38F000C63452}">
    <text>Nach Andres Input von „Coding“ zu „Produced Code“ geändert</text>
  </threadedComment>
  <threadedComment ref="C15" dT="2025-05-23T08:51:40.12" personId="{2315245B-EC09-46AB-A06E-DE769C358132}" id="{5DABF24C-F7F6-4498-BB7E-BFB15DB8540E}">
    <text>Nach Andres Input zusammengefasst zu einem Eintrag.</text>
  </threadedComment>
  <threadedComment ref="H28" dT="2025-06-02T18:38:57.61" personId="{2315245B-EC09-46AB-A06E-DE769C358132}" id="{738F5169-58A9-48F4-8196-48D2F743B5DF}">
    <text>Nach Andres Input von Business zu Process verschoben.</text>
  </threadedComment>
  <threadedComment ref="B29" dT="2025-05-23T09:36:06.75" personId="{2315245B-EC09-46AB-A06E-DE769C358132}" id="{B51E8FD0-2567-4557-B58E-1C6A56D9BFA3}">
    <text>Umbenannt von „Developer Build Time“ to  „Local Build Time“ nach Andres Input.</text>
  </threadedComment>
  <threadedComment ref="C29" dT="2025-05-23T09:38:31.42" personId="{2315245B-EC09-46AB-A06E-DE769C358132}" id="{E017DF4E-5656-4CEF-B774-80BA936A6D56}">
    <text xml:space="preserve">„NextJS Page Compilation Duration“ ergänzt nach Andres Input.
</text>
  </threadedComment>
  <threadedComment ref="C29" dT="2025-05-23T09:41:48.20" personId="{2315245B-EC09-46AB-A06E-DE769C358132}" id="{B9D6B62F-97AD-4141-950D-E7ECA7254F2F}" parentId="{E017DF4E-5656-4CEF-B774-80BA936A6D56}">
    <text>„Application/Package Build Duration“ von Lattice nach Andres Input ergänzt.</text>
  </threadedComment>
  <threadedComment ref="D29" dT="2025-05-23T09:41:06.69" personId="{2315245B-EC09-46AB-A06E-DE769C358132}" id="{8A92D669-9E50-4C59-82E5-97B139270D19}">
    <text>Lattice von NextJS Page Compilation Duration</text>
  </threadedComment>
  <threadedComment ref="C31" dT="2025-05-23T13:55:02.64" personId="{2315245B-EC09-46AB-A06E-DE769C358132}" id="{D1402E5C-7B54-496A-9313-5C695A9DF175}">
    <text>Nach Input von Andre „Satisfaction“ und „Satisfaction with Engineering System“ integriert.</text>
  </threadedComment>
  <threadedComment ref="D31" dT="2025-05-23T13:55:40.77" personId="{2315245B-EC09-46AB-A06E-DE769C358132}" id="{5A82E217-4A6B-46B7-9ADC-E64B4DF43DFC}">
    <text>Postman hinzugefügt von Satisfaction</text>
  </threadedComment>
  <threadedComment ref="B33" dT="2025-04-03T11:15:23.43" personId="{9D9142B8-11C7-4802-A1A1-66D498664CB5}" id="{CD59760B-76A7-492D-B20B-A2D9CF3FBC59}">
    <text>note that meta calls PRs/MRs diffs</text>
  </threadedComment>
  <threadedComment ref="H34" dT="2025-06-02T18:38:57.61" personId="{2315245B-EC09-46AB-A06E-DE769C358132}" id="{121DA4BD-014E-470E-AB44-B9514592A80F}">
    <text>Nach Andres Input von Business zu Process verschoben.</text>
  </threadedComment>
  <threadedComment ref="C52" dT="2025-05-23T09:31:57.03" personId="{2315245B-EC09-46AB-A06E-DE769C358132}" id="{41A1A9E9-8671-443A-BC53-E9E6789FC6B2}">
    <text>„Time to Restore Services“ ergänzt nach Andres Input.</text>
  </threadedComment>
  <threadedComment ref="D52" dT="2025-05-23T09:32:20.44" personId="{2315245B-EC09-46AB-A06E-DE769C358132}" id="{D07C1F58-FF51-472F-B628-25B77946F3D6}">
    <text>McKinsey Framework; Peloton ergänzt von Time to Restore Services</text>
  </threadedComment>
  <threadedComment ref="B54" dT="2025-05-23T09:06:49.45" personId="{2315245B-EC09-46AB-A06E-DE769C358132}" id="{EF886BF9-B28D-42E1-9B64-C8A7E72E082A}">
    <text>Name gekürzt nach Andres Input.</text>
  </threadedComment>
  <threadedComment ref="H58" dT="2025-06-03T11:52:12.80" personId="{2315245B-EC09-46AB-A06E-DE769C358132}" id="{7C21EAC9-D7DB-489B-AFEF-DEF502EE6ECC}">
    <text>Nach Andres Input von DevEx zu Business/HR gewechselt.</text>
  </threadedComment>
  <threadedComment ref="H61" dT="2025-06-02T18:36:03.58" personId="{2315245B-EC09-46AB-A06E-DE769C358132}" id="{917C3D96-4AA9-4D8E-8F4B-AEDAD8831587}">
    <text>Nach Andres Input von Business zu Quality verschoben.</text>
  </threadedComment>
  <threadedComment ref="J69" dT="2025-06-03T11:54:41.83" personId="{2315245B-EC09-46AB-A06E-DE769C358132}" id="{FDDDF671-A2B6-4958-A032-5551C66219BE}">
    <text>Von Knowledge Expansion zu Upskilling gewechselt.</text>
  </threadedComment>
  <threadedComment ref="B75" dT="2025-06-02T14:08:28.18" personId="{2315245B-EC09-46AB-A06E-DE769C358132}" id="{9BD6282E-AAD8-44B3-94D7-6BADCF15D5F0}">
    <text>Angepasst nach Andres Input. Zuvor „Quality“.</text>
  </threadedComment>
  <threadedComment ref="C76" dT="2025-06-02T18:24:12.03" personId="{2315245B-EC09-46AB-A06E-DE769C358132}" id="{9ABBA003-3752-4178-8927-349ABCC5DB99}">
    <text>Nach Andres Kommentar zu einer Metrik zusammengefasst.</text>
  </threadedComment>
  <threadedComment ref="H76" dT="2025-06-02T18:38:57.61" personId="{2315245B-EC09-46AB-A06E-DE769C358132}" id="{2F0223C9-C77F-4AA1-8A90-F4A399ADDA2A}">
    <text>Nach Andres Input von Business zu Process verschoben.</text>
  </threadedComment>
  <threadedComment ref="B77" dT="2025-05-23T09:24:06.88" personId="{2315245B-EC09-46AB-A06E-DE769C358132}" id="{80D5B2BD-D0F6-4AB8-8017-59A06F6C1C9C}">
    <text>Name angepasst nach Andres Input. Ursprünglich „Quality of Reviews of Work Contributed by Team Members“</text>
  </threadedComment>
  <threadedComment ref="C80" dT="2025-06-03T12:09:36.50" personId="{2315245B-EC09-46AB-A06E-DE769C358132}" id="{45640671-D7E4-4EA6-9099-D4E52C010FD7}">
    <text>Nach Andres Input Availability hinzugefügt.</text>
  </threadedComment>
  <threadedComment ref="H85" dT="2025-06-02T18:38:57.61" personId="{2315245B-EC09-46AB-A06E-DE769C358132}" id="{EB733AEE-2F18-46F9-8A7B-0CA9B6B32FFC}">
    <text>Nach Andres Input von Business zu Process verschoben.</text>
  </threadedComment>
  <threadedComment ref="C90" dT="2025-06-03T12:08:14.41" personId="{2315245B-EC09-46AB-A06E-DE769C358132}" id="{C9FB5614-C3E5-4863-BFB7-AAB3A42EAACD}">
    <text>Nach Andres Input. Production Incidents und System Uptime / Availability hinzugefügt.</text>
  </threadedComment>
  <threadedComment ref="F90" dT="2025-06-03T12:03:43.98" personId="{2315245B-EC09-46AB-A06E-DE769C358132}" id="{FCC3DA67-C366-4123-AE95-236C8FC56568}">
    <text>Nach Andres Input angepasst.</text>
  </threadedComment>
  <threadedComment ref="H91" dT="2025-06-03T12:00:31.64" personId="{2315245B-EC09-46AB-A06E-DE769C358132}" id="{24A13EBD-8030-4299-B820-E3DBAA902DCC}">
    <text>Nach Andres Anregung von Business zu DevEx/Upskilling gewechselt.</text>
  </threadedComment>
  <threadedComment ref="C92" dT="2025-05-23T08:56:36.61" personId="{2315245B-EC09-46AB-A06E-DE769C358132}" id="{65177E12-2939-4BCC-8B47-DB95E81C94F5}">
    <text>Zusammengefasst nach Andres Input</text>
  </threadedComment>
  <threadedComment ref="F94" dT="2025-06-02T14:24:01.73" personId="{2315245B-EC09-46AB-A06E-DE769C358132}" id="{35A9EE27-ABF3-44C5-B07F-C1029F352D07}">
    <text>Definition ausgeweitet.</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12"/>
  <sheetViews>
    <sheetView tabSelected="1" zoomScaleNormal="100" workbookViewId="0">
      <selection activeCell="N2" sqref="N2"/>
    </sheetView>
  </sheetViews>
  <sheetFormatPr defaultColWidth="9.140625" defaultRowHeight="15" x14ac:dyDescent="0.25"/>
  <cols>
    <col min="1" max="1" width="9.140625" style="7"/>
    <col min="2" max="2" width="36.5703125" style="7" bestFit="1" customWidth="1"/>
    <col min="3" max="3" width="36.5703125" style="8" customWidth="1"/>
    <col min="4" max="4" width="36.5703125" style="7" customWidth="1"/>
    <col min="5" max="5" width="40.28515625" style="8" customWidth="1"/>
    <col min="6" max="6" width="36.5703125" style="7" customWidth="1"/>
    <col min="7" max="7" width="31.7109375" style="7" customWidth="1"/>
    <col min="8" max="9" width="17.85546875" style="7" customWidth="1"/>
    <col min="10" max="13" width="28.42578125" style="7" customWidth="1"/>
    <col min="14" max="14" width="28.42578125" style="9" customWidth="1"/>
    <col min="15" max="16384" width="9.140625" style="7"/>
  </cols>
  <sheetData>
    <row r="1" spans="1:16" s="1" customFormat="1" x14ac:dyDescent="0.25">
      <c r="A1" s="1" t="s">
        <v>0</v>
      </c>
      <c r="B1" s="1" t="s">
        <v>1</v>
      </c>
      <c r="C1" s="2" t="s">
        <v>2</v>
      </c>
      <c r="D1" s="2" t="s">
        <v>275</v>
      </c>
      <c r="E1" s="2" t="s">
        <v>276</v>
      </c>
      <c r="F1" s="2" t="s">
        <v>3</v>
      </c>
      <c r="G1" s="1" t="s">
        <v>4</v>
      </c>
      <c r="H1" s="3" t="s">
        <v>5</v>
      </c>
      <c r="I1" s="4" t="s">
        <v>6</v>
      </c>
      <c r="J1" s="3" t="s">
        <v>7</v>
      </c>
      <c r="K1" s="3" t="s">
        <v>8</v>
      </c>
      <c r="L1" s="5" t="s">
        <v>9</v>
      </c>
      <c r="M1" s="5" t="s">
        <v>10</v>
      </c>
      <c r="N1" s="6" t="s">
        <v>542</v>
      </c>
      <c r="O1" s="1" t="s">
        <v>543</v>
      </c>
      <c r="P1" s="1" t="s">
        <v>547</v>
      </c>
    </row>
    <row r="2" spans="1:16" ht="120" x14ac:dyDescent="0.25">
      <c r="A2" s="7">
        <v>2</v>
      </c>
      <c r="B2" s="7" t="s">
        <v>14</v>
      </c>
      <c r="C2" s="8" t="s">
        <v>15</v>
      </c>
      <c r="D2" s="7" t="s">
        <v>565</v>
      </c>
      <c r="E2" s="8" t="s">
        <v>564</v>
      </c>
      <c r="F2" s="8" t="s">
        <v>16</v>
      </c>
      <c r="G2" s="7" t="s">
        <v>544</v>
      </c>
      <c r="H2" s="7" t="s">
        <v>17</v>
      </c>
      <c r="I2" s="7">
        <f>VLOOKUP(H2,cardsort_group_IDs!A:B,2,0)</f>
        <v>204</v>
      </c>
      <c r="J2" s="7" t="s">
        <v>18</v>
      </c>
      <c r="K2" s="7">
        <f>VLOOKUP(J2,cardsort_subgroup_IDs!A:B,2,0)</f>
        <v>327</v>
      </c>
      <c r="L2" s="7">
        <f>IF(E2="-",0,1)+IF(D2="-",0,2)</f>
        <v>3</v>
      </c>
      <c r="M2" s="7">
        <v>0</v>
      </c>
      <c r="N2" s="7">
        <f>IF(D2="-",0,LEN(D2)-LEN(SUBSTITUTE(D2,";",""))+1)</f>
        <v>3</v>
      </c>
      <c r="O2" s="7">
        <f>IF(E2="-",0,LEN(E2)-LEN(SUBSTITUTE(E2,";",""))+1)</f>
        <v>3</v>
      </c>
      <c r="P2" s="7">
        <f>SUM(N2:O2)</f>
        <v>6</v>
      </c>
    </row>
    <row r="3" spans="1:16" ht="30" x14ac:dyDescent="0.25">
      <c r="A3" s="7">
        <v>4</v>
      </c>
      <c r="B3" s="7" t="s">
        <v>20</v>
      </c>
      <c r="C3" s="8" t="s">
        <v>11</v>
      </c>
      <c r="D3" s="8">
        <v>201</v>
      </c>
      <c r="E3" s="8" t="s">
        <v>11</v>
      </c>
      <c r="F3" s="8" t="s">
        <v>22</v>
      </c>
      <c r="G3" s="7" t="s">
        <v>544</v>
      </c>
      <c r="H3" s="7" t="s">
        <v>23</v>
      </c>
      <c r="I3" s="7">
        <f>VLOOKUP(H3,cardsort_group_IDs!A:B,2,0)</f>
        <v>202</v>
      </c>
      <c r="J3" s="7" t="s">
        <v>24</v>
      </c>
      <c r="K3" s="7">
        <f>VLOOKUP(J3,cardsort_subgroup_IDs!A:B,2,0)</f>
        <v>303</v>
      </c>
      <c r="L3" s="7">
        <f>IF(E3="-",0,1)+IF(D3="-",0,2)</f>
        <v>2</v>
      </c>
      <c r="M3" s="7">
        <v>0</v>
      </c>
      <c r="N3" s="7">
        <f t="shared" ref="N3:N63" si="0">IF(D3="-",0,LEN(D3)-LEN(SUBSTITUTE(D3,";",""))+1)</f>
        <v>1</v>
      </c>
      <c r="O3" s="7">
        <f t="shared" ref="O3:O63" si="1">IF(E3="-",0,LEN(E3)-LEN(SUBSTITUTE(E3,";",""))+1)</f>
        <v>0</v>
      </c>
      <c r="P3" s="7">
        <f t="shared" ref="P3:P63" si="2">SUM(N3:O3)</f>
        <v>1</v>
      </c>
    </row>
    <row r="4" spans="1:16" ht="75" x14ac:dyDescent="0.25">
      <c r="A4" s="7">
        <v>7</v>
      </c>
      <c r="B4" s="7" t="s">
        <v>25</v>
      </c>
      <c r="C4" s="8" t="s">
        <v>280</v>
      </c>
      <c r="D4" s="7" t="s">
        <v>550</v>
      </c>
      <c r="E4" s="8" t="s">
        <v>548</v>
      </c>
      <c r="F4" s="10" t="s">
        <v>26</v>
      </c>
      <c r="G4" s="7" t="s">
        <v>544</v>
      </c>
      <c r="H4" s="7" t="s">
        <v>546</v>
      </c>
      <c r="I4" s="7">
        <f>VLOOKUP(H4,cardsort_group_IDs!A:B,2,0)</f>
        <v>203</v>
      </c>
      <c r="J4" s="7" t="s">
        <v>27</v>
      </c>
      <c r="K4" s="7">
        <f>VLOOKUP(J4,cardsort_subgroup_IDs!A:B,2,0)</f>
        <v>305</v>
      </c>
      <c r="L4" s="7">
        <f t="shared" ref="L3:L63" si="3">IF(E4="-",0,1)+IF(D4="-",0,2)</f>
        <v>3</v>
      </c>
      <c r="M4" s="7">
        <v>0</v>
      </c>
      <c r="N4" s="7">
        <f t="shared" si="0"/>
        <v>3</v>
      </c>
      <c r="O4" s="7">
        <f t="shared" si="1"/>
        <v>5</v>
      </c>
      <c r="P4" s="7">
        <f t="shared" si="2"/>
        <v>8</v>
      </c>
    </row>
    <row r="5" spans="1:16" ht="30" x14ac:dyDescent="0.25">
      <c r="A5" s="7">
        <v>9</v>
      </c>
      <c r="B5" s="7" t="s">
        <v>28</v>
      </c>
      <c r="C5" s="8" t="s">
        <v>11</v>
      </c>
      <c r="D5" s="7" t="s">
        <v>497</v>
      </c>
      <c r="E5" s="8" t="s">
        <v>584</v>
      </c>
      <c r="F5" s="10" t="s">
        <v>29</v>
      </c>
      <c r="G5" s="7" t="s">
        <v>544</v>
      </c>
      <c r="H5" s="7" t="s">
        <v>17</v>
      </c>
      <c r="I5" s="7">
        <f>VLOOKUP(H5,cardsort_group_IDs!A:B,2,0)</f>
        <v>204</v>
      </c>
      <c r="J5" s="7" t="s">
        <v>30</v>
      </c>
      <c r="K5" s="7">
        <f>VLOOKUP(J5,cardsort_subgroup_IDs!A:B,2,0)</f>
        <v>306</v>
      </c>
      <c r="L5" s="7">
        <f t="shared" si="3"/>
        <v>3</v>
      </c>
      <c r="M5" s="7">
        <v>0</v>
      </c>
      <c r="N5" s="7">
        <f t="shared" si="0"/>
        <v>1</v>
      </c>
      <c r="O5" s="7">
        <f t="shared" si="1"/>
        <v>2</v>
      </c>
      <c r="P5" s="7">
        <f t="shared" si="2"/>
        <v>3</v>
      </c>
    </row>
    <row r="6" spans="1:16" ht="75" x14ac:dyDescent="0.25">
      <c r="A6" s="7">
        <v>10</v>
      </c>
      <c r="B6" s="7" t="s">
        <v>31</v>
      </c>
      <c r="C6" s="8" t="s">
        <v>281</v>
      </c>
      <c r="D6" s="7" t="s">
        <v>455</v>
      </c>
      <c r="E6" s="8" t="s">
        <v>585</v>
      </c>
      <c r="F6" s="8" t="s">
        <v>32</v>
      </c>
      <c r="G6" s="7" t="s">
        <v>545</v>
      </c>
      <c r="H6" s="7" t="s">
        <v>546</v>
      </c>
      <c r="I6" s="7">
        <f>VLOOKUP(H6,cardsort_group_IDs!A:B,2,0)</f>
        <v>203</v>
      </c>
      <c r="J6" s="7" t="s">
        <v>33</v>
      </c>
      <c r="K6" s="7">
        <f>VLOOKUP(J6,cardsort_subgroup_IDs!A:B,2,0)</f>
        <v>307</v>
      </c>
      <c r="L6" s="7">
        <f t="shared" si="3"/>
        <v>3</v>
      </c>
      <c r="M6" s="7">
        <v>1</v>
      </c>
      <c r="N6" s="7">
        <f t="shared" si="0"/>
        <v>1</v>
      </c>
      <c r="O6" s="7">
        <f t="shared" si="1"/>
        <v>3</v>
      </c>
      <c r="P6" s="7">
        <f t="shared" si="2"/>
        <v>4</v>
      </c>
    </row>
    <row r="7" spans="1:16" ht="105" x14ac:dyDescent="0.25">
      <c r="A7" s="7">
        <v>11</v>
      </c>
      <c r="B7" s="7" t="s">
        <v>34</v>
      </c>
      <c r="C7" s="8" t="s">
        <v>11</v>
      </c>
      <c r="D7" s="7" t="s">
        <v>11</v>
      </c>
      <c r="E7" s="8">
        <v>183</v>
      </c>
      <c r="F7" s="8" t="s">
        <v>35</v>
      </c>
      <c r="G7" s="7" t="s">
        <v>544</v>
      </c>
      <c r="H7" s="7" t="s">
        <v>12</v>
      </c>
      <c r="I7" s="7">
        <f>VLOOKUP(H7,cardsort_group_IDs!A:B,2,0)</f>
        <v>201</v>
      </c>
      <c r="J7" s="7" t="s">
        <v>19</v>
      </c>
      <c r="K7" s="7">
        <f>VLOOKUP(J7,cardsort_subgroup_IDs!A:B,2,0)</f>
        <v>302</v>
      </c>
      <c r="L7" s="7">
        <f t="shared" si="3"/>
        <v>1</v>
      </c>
      <c r="M7" s="7">
        <v>0</v>
      </c>
      <c r="N7" s="7">
        <f t="shared" si="0"/>
        <v>0</v>
      </c>
      <c r="O7" s="7">
        <f t="shared" si="1"/>
        <v>1</v>
      </c>
      <c r="P7" s="7">
        <f t="shared" si="2"/>
        <v>1</v>
      </c>
    </row>
    <row r="8" spans="1:16" ht="75" x14ac:dyDescent="0.25">
      <c r="A8" s="7">
        <v>12</v>
      </c>
      <c r="B8" s="7" t="s">
        <v>36</v>
      </c>
      <c r="C8" s="8" t="s">
        <v>11</v>
      </c>
      <c r="D8" s="8" t="s">
        <v>566</v>
      </c>
      <c r="E8" s="8" t="s">
        <v>567</v>
      </c>
      <c r="F8" s="8" t="s">
        <v>37</v>
      </c>
      <c r="G8" s="7" t="s">
        <v>544</v>
      </c>
      <c r="H8" s="7" t="s">
        <v>38</v>
      </c>
      <c r="I8" s="7">
        <f>VLOOKUP(H8,cardsort_group_IDs!A:B,2,0)</f>
        <v>205</v>
      </c>
      <c r="J8" s="7" t="s">
        <v>39</v>
      </c>
      <c r="K8" s="7">
        <f>VLOOKUP(J8,cardsort_subgroup_IDs!A:B,2,0)</f>
        <v>308</v>
      </c>
      <c r="L8" s="7">
        <f t="shared" si="3"/>
        <v>3</v>
      </c>
      <c r="M8" s="7">
        <v>0</v>
      </c>
      <c r="N8" s="7">
        <f t="shared" si="0"/>
        <v>4</v>
      </c>
      <c r="O8" s="7">
        <f t="shared" si="1"/>
        <v>11</v>
      </c>
      <c r="P8" s="7">
        <f t="shared" si="2"/>
        <v>15</v>
      </c>
    </row>
    <row r="9" spans="1:16" ht="165" x14ac:dyDescent="0.25">
      <c r="A9" s="7">
        <v>13</v>
      </c>
      <c r="B9" s="7" t="s">
        <v>40</v>
      </c>
      <c r="C9" s="8" t="s">
        <v>11</v>
      </c>
      <c r="D9" s="7">
        <v>170</v>
      </c>
      <c r="E9" s="8" t="s">
        <v>11</v>
      </c>
      <c r="F9" s="8" t="s">
        <v>42</v>
      </c>
      <c r="G9" s="7" t="s">
        <v>544</v>
      </c>
      <c r="H9" s="7" t="s">
        <v>38</v>
      </c>
      <c r="I9" s="7">
        <f>VLOOKUP(H9,cardsort_group_IDs!A:B,2,0)</f>
        <v>205</v>
      </c>
      <c r="J9" s="7" t="s">
        <v>43</v>
      </c>
      <c r="K9" s="7">
        <f>VLOOKUP(J9,cardsort_subgroup_IDs!A:B,2,0)</f>
        <v>309</v>
      </c>
      <c r="L9" s="7">
        <f t="shared" si="3"/>
        <v>2</v>
      </c>
      <c r="M9" s="7">
        <v>0</v>
      </c>
      <c r="N9" s="7">
        <f t="shared" si="0"/>
        <v>1</v>
      </c>
      <c r="O9" s="7">
        <f t="shared" si="1"/>
        <v>0</v>
      </c>
      <c r="P9" s="7">
        <f t="shared" si="2"/>
        <v>1</v>
      </c>
    </row>
    <row r="10" spans="1:16" ht="75" x14ac:dyDescent="0.25">
      <c r="A10" s="7">
        <v>14</v>
      </c>
      <c r="B10" s="7" t="s">
        <v>44</v>
      </c>
      <c r="C10" s="8" t="s">
        <v>11</v>
      </c>
      <c r="D10" s="7" t="s">
        <v>447</v>
      </c>
      <c r="E10" s="8">
        <v>501</v>
      </c>
      <c r="F10" s="8" t="s">
        <v>45</v>
      </c>
      <c r="G10" s="7" t="s">
        <v>544</v>
      </c>
      <c r="H10" s="7" t="s">
        <v>38</v>
      </c>
      <c r="I10" s="7">
        <f>VLOOKUP(H10,cardsort_group_IDs!A:B,2,0)</f>
        <v>205</v>
      </c>
      <c r="J10" s="7" t="s">
        <v>39</v>
      </c>
      <c r="K10" s="7">
        <f>VLOOKUP(J10,cardsort_subgroup_IDs!A:B,2,0)</f>
        <v>308</v>
      </c>
      <c r="L10" s="7">
        <f t="shared" si="3"/>
        <v>3</v>
      </c>
      <c r="M10" s="7">
        <v>0</v>
      </c>
      <c r="N10" s="7">
        <f t="shared" si="0"/>
        <v>1</v>
      </c>
      <c r="O10" s="7">
        <f t="shared" si="1"/>
        <v>1</v>
      </c>
      <c r="P10" s="7">
        <f t="shared" si="2"/>
        <v>2</v>
      </c>
    </row>
    <row r="11" spans="1:16" ht="150" x14ac:dyDescent="0.25">
      <c r="A11" s="7">
        <v>15</v>
      </c>
      <c r="B11" s="7" t="s">
        <v>46</v>
      </c>
      <c r="C11" s="8" t="s">
        <v>11</v>
      </c>
      <c r="D11" s="7" t="s">
        <v>448</v>
      </c>
      <c r="E11" s="8">
        <v>501</v>
      </c>
      <c r="F11" s="8" t="s">
        <v>47</v>
      </c>
      <c r="G11" s="7" t="s">
        <v>544</v>
      </c>
      <c r="H11" s="7" t="s">
        <v>17</v>
      </c>
      <c r="I11" s="7">
        <f>VLOOKUP(H11,cardsort_group_IDs!A:B,2,0)</f>
        <v>204</v>
      </c>
      <c r="J11" s="7" t="s">
        <v>30</v>
      </c>
      <c r="K11" s="7">
        <f>VLOOKUP(J11,cardsort_subgroup_IDs!A:B,2,0)</f>
        <v>306</v>
      </c>
      <c r="L11" s="7">
        <f t="shared" si="3"/>
        <v>3</v>
      </c>
      <c r="M11" s="7">
        <v>0</v>
      </c>
      <c r="N11" s="7">
        <f t="shared" si="0"/>
        <v>2</v>
      </c>
      <c r="O11" s="7">
        <f t="shared" si="1"/>
        <v>1</v>
      </c>
      <c r="P11" s="7">
        <f t="shared" si="2"/>
        <v>3</v>
      </c>
    </row>
    <row r="12" spans="1:16" ht="30" x14ac:dyDescent="0.25">
      <c r="A12" s="7">
        <v>16</v>
      </c>
      <c r="B12" s="7" t="s">
        <v>48</v>
      </c>
      <c r="C12" s="8" t="s">
        <v>11</v>
      </c>
      <c r="D12" s="7" t="s">
        <v>462</v>
      </c>
      <c r="E12" s="8" t="s">
        <v>463</v>
      </c>
      <c r="F12" s="8" t="s">
        <v>49</v>
      </c>
      <c r="G12" s="7" t="s">
        <v>544</v>
      </c>
      <c r="H12" s="7" t="s">
        <v>38</v>
      </c>
      <c r="I12" s="7">
        <f>VLOOKUP(H12,cardsort_group_IDs!A:B,2,0)</f>
        <v>205</v>
      </c>
      <c r="J12" s="7" t="s">
        <v>50</v>
      </c>
      <c r="K12" s="7">
        <f>VLOOKUP(J12,cardsort_subgroup_IDs!A:B,2,0)</f>
        <v>310</v>
      </c>
      <c r="L12" s="7">
        <f t="shared" si="3"/>
        <v>3</v>
      </c>
      <c r="M12" s="7">
        <v>1</v>
      </c>
      <c r="N12" s="7">
        <f t="shared" si="0"/>
        <v>3</v>
      </c>
      <c r="O12" s="7">
        <f t="shared" si="1"/>
        <v>3</v>
      </c>
      <c r="P12" s="7">
        <f t="shared" si="2"/>
        <v>6</v>
      </c>
    </row>
    <row r="13" spans="1:16" ht="60" x14ac:dyDescent="0.25">
      <c r="A13" s="7">
        <v>17</v>
      </c>
      <c r="B13" s="7" t="s">
        <v>51</v>
      </c>
      <c r="C13" s="8" t="s">
        <v>52</v>
      </c>
      <c r="D13" s="8" t="s">
        <v>568</v>
      </c>
      <c r="E13" s="8" t="s">
        <v>569</v>
      </c>
      <c r="F13" s="8" t="s">
        <v>53</v>
      </c>
      <c r="G13" s="7" t="s">
        <v>544</v>
      </c>
      <c r="H13" s="7" t="s">
        <v>54</v>
      </c>
      <c r="I13" s="7">
        <f>VLOOKUP(H13,cardsort_group_IDs!A:B,2,0)</f>
        <v>206</v>
      </c>
      <c r="J13" s="7" t="s">
        <v>17</v>
      </c>
      <c r="K13" s="7">
        <f>VLOOKUP(J13,cardsort_subgroup_IDs!A:B,2,0)</f>
        <v>311</v>
      </c>
      <c r="L13" s="7">
        <f t="shared" si="3"/>
        <v>3</v>
      </c>
      <c r="M13" s="7">
        <v>1</v>
      </c>
      <c r="N13" s="7">
        <f t="shared" si="0"/>
        <v>3</v>
      </c>
      <c r="O13" s="7">
        <f t="shared" si="1"/>
        <v>5</v>
      </c>
      <c r="P13" s="7">
        <f t="shared" si="2"/>
        <v>8</v>
      </c>
    </row>
    <row r="14" spans="1:16" ht="30" x14ac:dyDescent="0.25">
      <c r="A14" s="7">
        <v>18</v>
      </c>
      <c r="B14" s="7" t="s">
        <v>55</v>
      </c>
      <c r="C14" s="8" t="s">
        <v>56</v>
      </c>
      <c r="D14" s="7" t="s">
        <v>464</v>
      </c>
      <c r="E14" s="8">
        <v>131</v>
      </c>
      <c r="F14" s="8" t="s">
        <v>57</v>
      </c>
      <c r="G14" s="7" t="s">
        <v>544</v>
      </c>
      <c r="H14" s="7" t="s">
        <v>38</v>
      </c>
      <c r="I14" s="7">
        <f>VLOOKUP(H14,cardsort_group_IDs!A:B,2,0)</f>
        <v>205</v>
      </c>
      <c r="J14" s="7" t="s">
        <v>50</v>
      </c>
      <c r="K14" s="7">
        <f>VLOOKUP(J14,cardsort_subgroup_IDs!A:B,2,0)</f>
        <v>310</v>
      </c>
      <c r="L14" s="7">
        <f t="shared" si="3"/>
        <v>3</v>
      </c>
      <c r="M14" s="7">
        <v>0</v>
      </c>
      <c r="N14" s="7">
        <f t="shared" si="0"/>
        <v>2</v>
      </c>
      <c r="O14" s="7">
        <f t="shared" si="1"/>
        <v>1</v>
      </c>
      <c r="P14" s="7">
        <f t="shared" si="2"/>
        <v>3</v>
      </c>
    </row>
    <row r="15" spans="1:16" ht="90" x14ac:dyDescent="0.25">
      <c r="A15" s="7">
        <v>19</v>
      </c>
      <c r="B15" s="7" t="s">
        <v>58</v>
      </c>
      <c r="C15" s="8" t="s">
        <v>282</v>
      </c>
      <c r="D15" s="7" t="s">
        <v>600</v>
      </c>
      <c r="E15" s="8" t="s">
        <v>578</v>
      </c>
      <c r="F15" s="8" t="s">
        <v>59</v>
      </c>
      <c r="G15" s="7" t="s">
        <v>544</v>
      </c>
      <c r="H15" s="7" t="s">
        <v>60</v>
      </c>
      <c r="I15" s="7">
        <f>VLOOKUP(H15,cardsort_group_IDs!A:B,2,0)</f>
        <v>207</v>
      </c>
      <c r="J15" s="7" t="s">
        <v>61</v>
      </c>
      <c r="K15" s="7">
        <f>VLOOKUP(J15,cardsort_subgroup_IDs!A:B,2,0)</f>
        <v>312</v>
      </c>
      <c r="L15" s="7">
        <f t="shared" si="3"/>
        <v>3</v>
      </c>
      <c r="M15" s="7">
        <v>1</v>
      </c>
      <c r="N15" s="7">
        <f t="shared" si="0"/>
        <v>4</v>
      </c>
      <c r="O15" s="7">
        <f t="shared" si="1"/>
        <v>21</v>
      </c>
      <c r="P15" s="7">
        <f t="shared" si="2"/>
        <v>25</v>
      </c>
    </row>
    <row r="16" spans="1:16" ht="75" x14ac:dyDescent="0.25">
      <c r="A16" s="7">
        <v>20</v>
      </c>
      <c r="B16" s="7" t="s">
        <v>62</v>
      </c>
      <c r="C16" s="8" t="s">
        <v>283</v>
      </c>
      <c r="D16" s="7" t="s">
        <v>11</v>
      </c>
      <c r="E16" s="8" t="s">
        <v>483</v>
      </c>
      <c r="F16" s="8" t="s">
        <v>63</v>
      </c>
      <c r="G16" s="7" t="s">
        <v>545</v>
      </c>
      <c r="H16" s="7" t="s">
        <v>546</v>
      </c>
      <c r="I16" s="7">
        <f>VLOOKUP(H16,cardsort_group_IDs!A:B,2,0)</f>
        <v>203</v>
      </c>
      <c r="J16" s="8" t="s">
        <v>64</v>
      </c>
      <c r="K16" s="7">
        <f>VLOOKUP(J16,cardsort_subgroup_IDs!A:B,2,0)</f>
        <v>313</v>
      </c>
      <c r="L16" s="7">
        <f t="shared" si="3"/>
        <v>1</v>
      </c>
      <c r="M16" s="7">
        <v>0</v>
      </c>
      <c r="N16" s="7">
        <f t="shared" si="0"/>
        <v>0</v>
      </c>
      <c r="O16" s="7">
        <f t="shared" si="1"/>
        <v>4</v>
      </c>
      <c r="P16" s="7">
        <f t="shared" si="2"/>
        <v>4</v>
      </c>
    </row>
    <row r="17" spans="1:16" ht="60" x14ac:dyDescent="0.25">
      <c r="A17" s="7">
        <v>22</v>
      </c>
      <c r="B17" s="8" t="s">
        <v>66</v>
      </c>
      <c r="C17" s="8" t="s">
        <v>11</v>
      </c>
      <c r="D17" s="7" t="s">
        <v>455</v>
      </c>
      <c r="E17" s="8" t="s">
        <v>457</v>
      </c>
      <c r="F17" s="8" t="s">
        <v>67</v>
      </c>
      <c r="G17" s="7" t="s">
        <v>544</v>
      </c>
      <c r="H17" s="7" t="s">
        <v>17</v>
      </c>
      <c r="I17" s="7">
        <f>VLOOKUP(H17,cardsort_group_IDs!A:B,2,0)</f>
        <v>204</v>
      </c>
      <c r="J17" s="7" t="s">
        <v>18</v>
      </c>
      <c r="K17" s="7">
        <f>VLOOKUP(J17,cardsort_subgroup_IDs!A:B,2,0)</f>
        <v>327</v>
      </c>
      <c r="L17" s="7">
        <f t="shared" si="3"/>
        <v>3</v>
      </c>
      <c r="M17" s="7">
        <v>1</v>
      </c>
      <c r="N17" s="7">
        <f t="shared" si="0"/>
        <v>1</v>
      </c>
      <c r="O17" s="7">
        <f t="shared" si="1"/>
        <v>2</v>
      </c>
      <c r="P17" s="7">
        <f t="shared" si="2"/>
        <v>3</v>
      </c>
    </row>
    <row r="18" spans="1:16" ht="90" x14ac:dyDescent="0.25">
      <c r="A18" s="7">
        <v>23</v>
      </c>
      <c r="B18" s="14" t="s">
        <v>68</v>
      </c>
      <c r="C18" s="10" t="s">
        <v>284</v>
      </c>
      <c r="D18" s="7" t="s">
        <v>11</v>
      </c>
      <c r="E18" s="8" t="s">
        <v>443</v>
      </c>
      <c r="F18" s="10" t="s">
        <v>70</v>
      </c>
      <c r="G18" s="7" t="s">
        <v>544</v>
      </c>
      <c r="H18" s="7" t="s">
        <v>54</v>
      </c>
      <c r="I18" s="7">
        <f>VLOOKUP(H18,cardsort_group_IDs!A:B,2,0)</f>
        <v>206</v>
      </c>
      <c r="J18" s="7" t="s">
        <v>71</v>
      </c>
      <c r="K18" s="7">
        <f>VLOOKUP(J18,cardsort_subgroup_IDs!A:B,2,0)</f>
        <v>316</v>
      </c>
      <c r="L18" s="7">
        <f t="shared" si="3"/>
        <v>1</v>
      </c>
      <c r="M18" s="7">
        <v>0</v>
      </c>
      <c r="N18" s="7">
        <f t="shared" si="0"/>
        <v>0</v>
      </c>
      <c r="O18" s="7">
        <f t="shared" si="1"/>
        <v>2</v>
      </c>
      <c r="P18" s="7">
        <f t="shared" si="2"/>
        <v>2</v>
      </c>
    </row>
    <row r="19" spans="1:16" ht="150" x14ac:dyDescent="0.25">
      <c r="A19" s="7">
        <v>24</v>
      </c>
      <c r="B19" s="7" t="s">
        <v>72</v>
      </c>
      <c r="C19" s="8" t="s">
        <v>11</v>
      </c>
      <c r="D19" s="7" t="s">
        <v>11</v>
      </c>
      <c r="E19" s="8">
        <v>508</v>
      </c>
      <c r="F19" s="8" t="s">
        <v>74</v>
      </c>
      <c r="G19" s="7" t="s">
        <v>544</v>
      </c>
      <c r="H19" s="7" t="s">
        <v>12</v>
      </c>
      <c r="I19" s="7">
        <f>VLOOKUP(H19,cardsort_group_IDs!A:B,2,0)</f>
        <v>201</v>
      </c>
      <c r="J19" s="7" t="s">
        <v>19</v>
      </c>
      <c r="K19" s="7">
        <f>VLOOKUP(J19,cardsort_subgroup_IDs!A:B,2,0)</f>
        <v>302</v>
      </c>
      <c r="L19" s="7">
        <f t="shared" si="3"/>
        <v>1</v>
      </c>
      <c r="M19" s="7">
        <v>0</v>
      </c>
      <c r="N19" s="7">
        <f t="shared" si="0"/>
        <v>0</v>
      </c>
      <c r="O19" s="7">
        <f t="shared" si="1"/>
        <v>1</v>
      </c>
      <c r="P19" s="7">
        <f t="shared" si="2"/>
        <v>1</v>
      </c>
    </row>
    <row r="20" spans="1:16" ht="90" x14ac:dyDescent="0.25">
      <c r="A20" s="7">
        <v>25</v>
      </c>
      <c r="B20" s="7" t="s">
        <v>75</v>
      </c>
      <c r="C20" s="8" t="s">
        <v>76</v>
      </c>
      <c r="D20" s="7" t="s">
        <v>11</v>
      </c>
      <c r="E20" s="8" t="s">
        <v>586</v>
      </c>
      <c r="F20" s="8" t="s">
        <v>77</v>
      </c>
      <c r="G20" s="7" t="s">
        <v>545</v>
      </c>
      <c r="H20" s="7" t="s">
        <v>78</v>
      </c>
      <c r="I20" s="7">
        <f>VLOOKUP(H20,cardsort_group_IDs!A:B,2,0)</f>
        <v>208</v>
      </c>
      <c r="J20" s="7" t="s">
        <v>38</v>
      </c>
      <c r="K20" s="7">
        <f>VLOOKUP(J20,cardsort_subgroup_IDs!A:B,2,0)</f>
        <v>317</v>
      </c>
      <c r="L20" s="7">
        <f t="shared" si="3"/>
        <v>1</v>
      </c>
      <c r="M20" s="7">
        <v>0</v>
      </c>
      <c r="N20" s="7">
        <f t="shared" si="0"/>
        <v>0</v>
      </c>
      <c r="O20" s="7">
        <f t="shared" si="1"/>
        <v>3</v>
      </c>
      <c r="P20" s="7">
        <f t="shared" si="2"/>
        <v>3</v>
      </c>
    </row>
    <row r="21" spans="1:16" ht="30" x14ac:dyDescent="0.25">
      <c r="A21" s="7">
        <v>26</v>
      </c>
      <c r="B21" s="7" t="s">
        <v>79</v>
      </c>
      <c r="C21" s="8" t="s">
        <v>11</v>
      </c>
      <c r="D21" s="7" t="s">
        <v>465</v>
      </c>
      <c r="E21" s="8">
        <v>131</v>
      </c>
      <c r="F21" s="8" t="s">
        <v>80</v>
      </c>
      <c r="G21" s="7" t="s">
        <v>544</v>
      </c>
      <c r="H21" s="7" t="s">
        <v>78</v>
      </c>
      <c r="I21" s="7">
        <f>VLOOKUP(H21,cardsort_group_IDs!A:B,2,0)</f>
        <v>208</v>
      </c>
      <c r="J21" s="7" t="s">
        <v>38</v>
      </c>
      <c r="K21" s="7">
        <f>VLOOKUP(J21,cardsort_subgroup_IDs!A:B,2,0)</f>
        <v>317</v>
      </c>
      <c r="L21" s="7">
        <f t="shared" si="3"/>
        <v>3</v>
      </c>
      <c r="M21" s="7">
        <v>0</v>
      </c>
      <c r="N21" s="7">
        <f t="shared" si="0"/>
        <v>2</v>
      </c>
      <c r="O21" s="7">
        <f t="shared" si="1"/>
        <v>1</v>
      </c>
      <c r="P21" s="7">
        <f t="shared" si="2"/>
        <v>3</v>
      </c>
    </row>
    <row r="22" spans="1:16" ht="60" x14ac:dyDescent="0.25">
      <c r="A22" s="7">
        <v>27</v>
      </c>
      <c r="B22" s="7" t="s">
        <v>30</v>
      </c>
      <c r="C22" s="8" t="s">
        <v>607</v>
      </c>
      <c r="D22" s="8" t="s">
        <v>608</v>
      </c>
      <c r="E22" s="8" t="s">
        <v>466</v>
      </c>
      <c r="F22" s="8" t="s">
        <v>81</v>
      </c>
      <c r="G22" s="7" t="s">
        <v>544</v>
      </c>
      <c r="H22" s="7" t="s">
        <v>17</v>
      </c>
      <c r="I22" s="7">
        <f>VLOOKUP(H22,cardsort_group_IDs!A:B,2,0)</f>
        <v>204</v>
      </c>
      <c r="J22" s="7" t="s">
        <v>30</v>
      </c>
      <c r="K22" s="7">
        <f>VLOOKUP(J22,cardsort_subgroup_IDs!A:B,2,0)</f>
        <v>306</v>
      </c>
      <c r="L22" s="7">
        <f t="shared" si="3"/>
        <v>3</v>
      </c>
      <c r="M22" s="7">
        <v>1</v>
      </c>
      <c r="N22" s="7">
        <f t="shared" si="0"/>
        <v>5</v>
      </c>
      <c r="O22" s="7">
        <f t="shared" si="1"/>
        <v>5</v>
      </c>
      <c r="P22" s="7">
        <f t="shared" si="2"/>
        <v>10</v>
      </c>
    </row>
    <row r="23" spans="1:16" ht="75" x14ac:dyDescent="0.25">
      <c r="A23" s="7">
        <v>28</v>
      </c>
      <c r="B23" s="7" t="s">
        <v>82</v>
      </c>
      <c r="C23" s="8" t="s">
        <v>11</v>
      </c>
      <c r="D23" s="7" t="s">
        <v>444</v>
      </c>
      <c r="E23" s="8">
        <v>501</v>
      </c>
      <c r="F23" s="8" t="s">
        <v>84</v>
      </c>
      <c r="G23" s="7" t="s">
        <v>544</v>
      </c>
      <c r="H23" s="7" t="s">
        <v>546</v>
      </c>
      <c r="I23" s="7">
        <f>VLOOKUP(H23,cardsort_group_IDs!A:B,2,0)</f>
        <v>203</v>
      </c>
      <c r="J23" s="7" t="s">
        <v>27</v>
      </c>
      <c r="K23" s="7">
        <f>VLOOKUP(J23,cardsort_subgroup_IDs!A:B,2,0)</f>
        <v>305</v>
      </c>
      <c r="L23" s="7">
        <f t="shared" si="3"/>
        <v>3</v>
      </c>
      <c r="M23" s="7">
        <v>0</v>
      </c>
      <c r="N23" s="7">
        <f t="shared" si="0"/>
        <v>1</v>
      </c>
      <c r="O23" s="7">
        <f t="shared" si="1"/>
        <v>1</v>
      </c>
      <c r="P23" s="7">
        <f t="shared" si="2"/>
        <v>2</v>
      </c>
    </row>
    <row r="24" spans="1:16" ht="45" x14ac:dyDescent="0.25">
      <c r="A24" s="7">
        <v>29</v>
      </c>
      <c r="B24" s="7" t="s">
        <v>85</v>
      </c>
      <c r="C24" s="8" t="s">
        <v>285</v>
      </c>
      <c r="D24" s="7" t="s">
        <v>11</v>
      </c>
      <c r="E24" s="8">
        <v>236</v>
      </c>
      <c r="F24" s="8" t="s">
        <v>86</v>
      </c>
      <c r="G24" s="7" t="s">
        <v>544</v>
      </c>
      <c r="H24" s="7" t="s">
        <v>38</v>
      </c>
      <c r="I24" s="7">
        <f>VLOOKUP(H24,cardsort_group_IDs!A:B,2,0)</f>
        <v>205</v>
      </c>
      <c r="J24" s="7" t="s">
        <v>39</v>
      </c>
      <c r="K24" s="7">
        <f>VLOOKUP(J24,cardsort_subgroup_IDs!A:B,2,0)</f>
        <v>308</v>
      </c>
      <c r="L24" s="7">
        <f t="shared" si="3"/>
        <v>1</v>
      </c>
      <c r="M24" s="7">
        <v>0</v>
      </c>
      <c r="N24" s="7">
        <f t="shared" si="0"/>
        <v>0</v>
      </c>
      <c r="O24" s="7">
        <f t="shared" si="1"/>
        <v>1</v>
      </c>
      <c r="P24" s="7">
        <f t="shared" si="2"/>
        <v>1</v>
      </c>
    </row>
    <row r="25" spans="1:16" ht="45" x14ac:dyDescent="0.25">
      <c r="A25" s="7">
        <v>30</v>
      </c>
      <c r="B25" s="7" t="s">
        <v>87</v>
      </c>
      <c r="C25" s="8" t="s">
        <v>11</v>
      </c>
      <c r="D25" s="8" t="s">
        <v>589</v>
      </c>
      <c r="E25" s="8" t="s">
        <v>588</v>
      </c>
      <c r="F25" s="8" t="s">
        <v>88</v>
      </c>
      <c r="G25" s="7" t="s">
        <v>544</v>
      </c>
      <c r="H25" s="7" t="s">
        <v>78</v>
      </c>
      <c r="I25" s="7">
        <f>VLOOKUP(H25,cardsort_group_IDs!A:B,2,0)</f>
        <v>208</v>
      </c>
      <c r="J25" s="7" t="s">
        <v>87</v>
      </c>
      <c r="K25" s="7">
        <f>VLOOKUP(J25,cardsort_subgroup_IDs!A:B,2,0)</f>
        <v>318</v>
      </c>
      <c r="L25" s="7">
        <f t="shared" si="3"/>
        <v>3</v>
      </c>
      <c r="M25" s="7">
        <v>1</v>
      </c>
      <c r="N25" s="7">
        <f t="shared" si="0"/>
        <v>7</v>
      </c>
      <c r="O25" s="7">
        <f t="shared" si="1"/>
        <v>12</v>
      </c>
      <c r="P25" s="7">
        <f t="shared" si="2"/>
        <v>19</v>
      </c>
    </row>
    <row r="26" spans="1:16" ht="30" x14ac:dyDescent="0.25">
      <c r="A26" s="7">
        <v>31</v>
      </c>
      <c r="B26" s="7" t="s">
        <v>89</v>
      </c>
      <c r="C26" s="8" t="s">
        <v>286</v>
      </c>
      <c r="D26" s="7">
        <v>170</v>
      </c>
      <c r="E26" s="8" t="s">
        <v>587</v>
      </c>
      <c r="F26" s="8" t="s">
        <v>90</v>
      </c>
      <c r="G26" s="7" t="s">
        <v>544</v>
      </c>
      <c r="H26" s="7" t="s">
        <v>38</v>
      </c>
      <c r="I26" s="7">
        <f>VLOOKUP(H26,cardsort_group_IDs!A:B,2,0)</f>
        <v>205</v>
      </c>
      <c r="J26" s="7" t="s">
        <v>91</v>
      </c>
      <c r="K26" s="7">
        <f>VLOOKUP(J26,cardsort_subgroup_IDs!A:B,2,0)</f>
        <v>319</v>
      </c>
      <c r="L26" s="7">
        <f t="shared" si="3"/>
        <v>3</v>
      </c>
      <c r="M26" s="7">
        <v>0</v>
      </c>
      <c r="N26" s="7">
        <f t="shared" si="0"/>
        <v>1</v>
      </c>
      <c r="O26" s="7">
        <f t="shared" si="1"/>
        <v>3</v>
      </c>
      <c r="P26" s="7">
        <f t="shared" si="2"/>
        <v>4</v>
      </c>
    </row>
    <row r="27" spans="1:16" ht="120" x14ac:dyDescent="0.25">
      <c r="A27" s="7">
        <v>32</v>
      </c>
      <c r="B27" s="7" t="s">
        <v>92</v>
      </c>
      <c r="C27" s="8" t="s">
        <v>11</v>
      </c>
      <c r="D27" s="7" t="s">
        <v>445</v>
      </c>
      <c r="E27" s="8">
        <v>501</v>
      </c>
      <c r="F27" s="8" t="s">
        <v>94</v>
      </c>
      <c r="G27" s="7" t="s">
        <v>544</v>
      </c>
      <c r="H27" s="7" t="s">
        <v>78</v>
      </c>
      <c r="I27" s="7">
        <f>VLOOKUP(H27,cardsort_group_IDs!A:B,2,0)</f>
        <v>208</v>
      </c>
      <c r="J27" s="7" t="s">
        <v>87</v>
      </c>
      <c r="K27" s="7">
        <f>VLOOKUP(J27,cardsort_subgroup_IDs!A:B,2,0)</f>
        <v>318</v>
      </c>
      <c r="L27" s="7">
        <f t="shared" si="3"/>
        <v>3</v>
      </c>
      <c r="M27" s="7">
        <v>0</v>
      </c>
      <c r="N27" s="7">
        <f t="shared" si="0"/>
        <v>1</v>
      </c>
      <c r="O27" s="7">
        <f t="shared" si="1"/>
        <v>1</v>
      </c>
      <c r="P27" s="7">
        <f t="shared" si="2"/>
        <v>2</v>
      </c>
    </row>
    <row r="28" spans="1:16" ht="45" x14ac:dyDescent="0.25">
      <c r="A28" s="7">
        <v>33</v>
      </c>
      <c r="B28" s="7" t="s">
        <v>95</v>
      </c>
      <c r="C28" s="8" t="s">
        <v>11</v>
      </c>
      <c r="D28" s="7" t="s">
        <v>455</v>
      </c>
      <c r="E28" s="8" t="s">
        <v>457</v>
      </c>
      <c r="F28" s="8" t="s">
        <v>96</v>
      </c>
      <c r="G28" s="7" t="s">
        <v>545</v>
      </c>
      <c r="H28" s="7" t="s">
        <v>17</v>
      </c>
      <c r="I28" s="7">
        <f>VLOOKUP(H28,cardsort_group_IDs!A:B,2,0)</f>
        <v>204</v>
      </c>
      <c r="J28" s="7" t="s">
        <v>97</v>
      </c>
      <c r="K28" s="7">
        <f>VLOOKUP(J28,cardsort_subgroup_IDs!A:B,2,0)</f>
        <v>320</v>
      </c>
      <c r="L28" s="7">
        <f t="shared" si="3"/>
        <v>3</v>
      </c>
      <c r="M28" s="7">
        <v>1</v>
      </c>
      <c r="N28" s="7">
        <f t="shared" si="0"/>
        <v>1</v>
      </c>
      <c r="O28" s="7">
        <f t="shared" si="1"/>
        <v>2</v>
      </c>
      <c r="P28" s="7">
        <f t="shared" si="2"/>
        <v>3</v>
      </c>
    </row>
    <row r="29" spans="1:16" ht="75" x14ac:dyDescent="0.25">
      <c r="A29" s="7">
        <v>34</v>
      </c>
      <c r="B29" s="7" t="s">
        <v>98</v>
      </c>
      <c r="C29" s="8" t="s">
        <v>287</v>
      </c>
      <c r="D29" s="8" t="s">
        <v>570</v>
      </c>
      <c r="E29" s="8" t="s">
        <v>571</v>
      </c>
      <c r="F29" s="8" t="s">
        <v>99</v>
      </c>
      <c r="G29" s="7" t="s">
        <v>544</v>
      </c>
      <c r="H29" s="7" t="s">
        <v>23</v>
      </c>
      <c r="I29" s="7">
        <f>VLOOKUP(H29,cardsort_group_IDs!A:B,2,0)</f>
        <v>202</v>
      </c>
      <c r="J29" s="7" t="s">
        <v>24</v>
      </c>
      <c r="K29" s="7">
        <f>VLOOKUP(J29,cardsort_subgroup_IDs!A:B,2,0)</f>
        <v>303</v>
      </c>
      <c r="L29" s="7">
        <f t="shared" si="3"/>
        <v>3</v>
      </c>
      <c r="M29" s="7">
        <v>0</v>
      </c>
      <c r="N29" s="7">
        <f t="shared" si="0"/>
        <v>4</v>
      </c>
      <c r="O29" s="7">
        <f t="shared" si="1"/>
        <v>4</v>
      </c>
      <c r="P29" s="7">
        <f t="shared" si="2"/>
        <v>8</v>
      </c>
    </row>
    <row r="30" spans="1:16" ht="120" x14ac:dyDescent="0.25">
      <c r="A30" s="7">
        <v>35</v>
      </c>
      <c r="B30" s="7" t="s">
        <v>100</v>
      </c>
      <c r="C30" s="8" t="s">
        <v>11</v>
      </c>
      <c r="D30" s="7" t="s">
        <v>455</v>
      </c>
      <c r="E30" s="8" t="s">
        <v>457</v>
      </c>
      <c r="F30" s="8" t="s">
        <v>101</v>
      </c>
      <c r="G30" s="7" t="s">
        <v>545</v>
      </c>
      <c r="H30" s="7" t="s">
        <v>546</v>
      </c>
      <c r="I30" s="7">
        <f>VLOOKUP(H30,cardsort_group_IDs!A:B,2,0)</f>
        <v>203</v>
      </c>
      <c r="J30" s="7" t="s">
        <v>102</v>
      </c>
      <c r="K30" s="7">
        <f>VLOOKUP(J30,cardsort_subgroup_IDs!A:B,2,0)</f>
        <v>321</v>
      </c>
      <c r="L30" s="7">
        <f t="shared" si="3"/>
        <v>3</v>
      </c>
      <c r="M30" s="7">
        <v>1</v>
      </c>
      <c r="N30" s="7">
        <f t="shared" si="0"/>
        <v>1</v>
      </c>
      <c r="O30" s="7">
        <f t="shared" si="1"/>
        <v>2</v>
      </c>
      <c r="P30" s="7">
        <f t="shared" si="2"/>
        <v>3</v>
      </c>
    </row>
    <row r="31" spans="1:16" ht="165" x14ac:dyDescent="0.25">
      <c r="A31" s="7">
        <v>36</v>
      </c>
      <c r="B31" s="7" t="s">
        <v>103</v>
      </c>
      <c r="C31" s="8" t="s">
        <v>288</v>
      </c>
      <c r="D31" s="8" t="s">
        <v>604</v>
      </c>
      <c r="E31" s="8" t="s">
        <v>572</v>
      </c>
      <c r="F31" s="8" t="s">
        <v>104</v>
      </c>
      <c r="G31" s="7" t="s">
        <v>545</v>
      </c>
      <c r="H31" s="7" t="s">
        <v>546</v>
      </c>
      <c r="I31" s="7">
        <f>VLOOKUP(H31,cardsort_group_IDs!A:B,2,0)</f>
        <v>203</v>
      </c>
      <c r="J31" s="7" t="s">
        <v>105</v>
      </c>
      <c r="K31" s="7">
        <f>VLOOKUP(J31,cardsort_subgroup_IDs!A:B,2,0)</f>
        <v>322</v>
      </c>
      <c r="L31" s="7">
        <f t="shared" si="3"/>
        <v>3</v>
      </c>
      <c r="M31" s="7">
        <v>1</v>
      </c>
      <c r="N31" s="7">
        <f t="shared" si="0"/>
        <v>11</v>
      </c>
      <c r="O31" s="7">
        <f t="shared" si="1"/>
        <v>14</v>
      </c>
      <c r="P31" s="7">
        <f t="shared" si="2"/>
        <v>25</v>
      </c>
    </row>
    <row r="32" spans="1:16" ht="255" x14ac:dyDescent="0.25">
      <c r="A32" s="7">
        <v>37</v>
      </c>
      <c r="B32" s="7" t="s">
        <v>106</v>
      </c>
      <c r="C32" s="8" t="s">
        <v>11</v>
      </c>
      <c r="D32" s="7" t="s">
        <v>11</v>
      </c>
      <c r="E32" s="8">
        <v>506</v>
      </c>
      <c r="F32" s="8" t="s">
        <v>107</v>
      </c>
      <c r="G32" s="7" t="s">
        <v>545</v>
      </c>
      <c r="H32" s="7" t="s">
        <v>12</v>
      </c>
      <c r="I32" s="7">
        <f>VLOOKUP(H32,cardsort_group_IDs!A:B,2,0)</f>
        <v>201</v>
      </c>
      <c r="J32" s="7" t="s">
        <v>19</v>
      </c>
      <c r="K32" s="7">
        <f>VLOOKUP(J32,cardsort_subgroup_IDs!A:B,2,0)</f>
        <v>302</v>
      </c>
      <c r="L32" s="7">
        <f t="shared" si="3"/>
        <v>1</v>
      </c>
      <c r="M32" s="7">
        <v>0</v>
      </c>
      <c r="N32" s="7">
        <f t="shared" si="0"/>
        <v>0</v>
      </c>
      <c r="O32" s="7">
        <f t="shared" si="1"/>
        <v>1</v>
      </c>
      <c r="P32" s="7">
        <f t="shared" si="2"/>
        <v>1</v>
      </c>
    </row>
    <row r="33" spans="1:16" ht="135" x14ac:dyDescent="0.25">
      <c r="A33" s="7">
        <v>38</v>
      </c>
      <c r="B33" s="7" t="s">
        <v>108</v>
      </c>
      <c r="C33" s="8" t="s">
        <v>289</v>
      </c>
      <c r="D33" s="7" t="s">
        <v>552</v>
      </c>
      <c r="E33" s="8" t="s">
        <v>478</v>
      </c>
      <c r="F33" s="11" t="s">
        <v>109</v>
      </c>
      <c r="G33" s="7" t="s">
        <v>544</v>
      </c>
      <c r="H33" s="7" t="s">
        <v>17</v>
      </c>
      <c r="I33" s="7">
        <f>VLOOKUP(H33,cardsort_group_IDs!A:B,2,0)</f>
        <v>204</v>
      </c>
      <c r="J33" s="7" t="s">
        <v>30</v>
      </c>
      <c r="K33" s="7">
        <f>VLOOKUP(J33,cardsort_subgroup_IDs!A:B,2,0)</f>
        <v>306</v>
      </c>
      <c r="L33" s="7">
        <f t="shared" si="3"/>
        <v>3</v>
      </c>
      <c r="M33" s="7">
        <v>1</v>
      </c>
      <c r="N33" s="7">
        <f t="shared" si="0"/>
        <v>2</v>
      </c>
      <c r="O33" s="7">
        <f t="shared" si="1"/>
        <v>13</v>
      </c>
      <c r="P33" s="7">
        <f t="shared" si="2"/>
        <v>15</v>
      </c>
    </row>
    <row r="34" spans="1:16" ht="75" x14ac:dyDescent="0.25">
      <c r="A34" s="7">
        <v>39</v>
      </c>
      <c r="B34" s="8" t="s">
        <v>110</v>
      </c>
      <c r="C34" s="8" t="s">
        <v>11</v>
      </c>
      <c r="D34" s="7" t="s">
        <v>455</v>
      </c>
      <c r="E34" s="8" t="s">
        <v>457</v>
      </c>
      <c r="F34" s="8" t="s">
        <v>111</v>
      </c>
      <c r="G34" s="7" t="s">
        <v>545</v>
      </c>
      <c r="H34" s="7" t="s">
        <v>17</v>
      </c>
      <c r="I34" s="7">
        <f>VLOOKUP(H34,cardsort_group_IDs!A:B,2,0)</f>
        <v>204</v>
      </c>
      <c r="J34" s="7" t="s">
        <v>97</v>
      </c>
      <c r="K34" s="7">
        <f>VLOOKUP(J34,cardsort_subgroup_IDs!A:B,2,0)</f>
        <v>320</v>
      </c>
      <c r="L34" s="7">
        <f t="shared" si="3"/>
        <v>3</v>
      </c>
      <c r="M34" s="7">
        <v>1</v>
      </c>
      <c r="N34" s="7">
        <f t="shared" si="0"/>
        <v>1</v>
      </c>
      <c r="O34" s="7">
        <f t="shared" si="1"/>
        <v>2</v>
      </c>
      <c r="P34" s="7">
        <f t="shared" si="2"/>
        <v>3</v>
      </c>
    </row>
    <row r="35" spans="1:16" ht="120" x14ac:dyDescent="0.25">
      <c r="A35" s="7">
        <v>40</v>
      </c>
      <c r="B35" s="8" t="s">
        <v>64</v>
      </c>
      <c r="C35" s="8" t="s">
        <v>112</v>
      </c>
      <c r="D35" s="8" t="s">
        <v>555</v>
      </c>
      <c r="E35" s="8" t="s">
        <v>556</v>
      </c>
      <c r="F35" s="8" t="s">
        <v>113</v>
      </c>
      <c r="G35" s="7" t="s">
        <v>545</v>
      </c>
      <c r="H35" s="7" t="s">
        <v>546</v>
      </c>
      <c r="I35" s="7">
        <f>VLOOKUP(H35,cardsort_group_IDs!A:B,2,0)</f>
        <v>203</v>
      </c>
      <c r="J35" s="8" t="s">
        <v>64</v>
      </c>
      <c r="K35" s="7">
        <f>VLOOKUP(J35,cardsort_subgroup_IDs!A:B,2,0)</f>
        <v>313</v>
      </c>
      <c r="L35" s="7">
        <f t="shared" si="3"/>
        <v>3</v>
      </c>
      <c r="M35" s="7">
        <v>1</v>
      </c>
      <c r="N35" s="7">
        <f t="shared" si="0"/>
        <v>7</v>
      </c>
      <c r="O35" s="7">
        <f t="shared" si="1"/>
        <v>7</v>
      </c>
      <c r="P35" s="7">
        <f t="shared" si="2"/>
        <v>14</v>
      </c>
    </row>
    <row r="36" spans="1:16" ht="75" x14ac:dyDescent="0.25">
      <c r="A36" s="7">
        <v>41</v>
      </c>
      <c r="B36" s="14" t="s">
        <v>114</v>
      </c>
      <c r="C36" s="10" t="s">
        <v>319</v>
      </c>
      <c r="D36" s="7" t="s">
        <v>446</v>
      </c>
      <c r="E36" s="8" t="s">
        <v>458</v>
      </c>
      <c r="F36" s="10" t="s">
        <v>115</v>
      </c>
      <c r="G36" s="7" t="s">
        <v>545</v>
      </c>
      <c r="H36" s="7" t="s">
        <v>546</v>
      </c>
      <c r="I36" s="7">
        <f>VLOOKUP(H36,cardsort_group_IDs!A:B,2,0)</f>
        <v>203</v>
      </c>
      <c r="J36" s="7" t="s">
        <v>102</v>
      </c>
      <c r="K36" s="7">
        <f>VLOOKUP(J36,cardsort_subgroup_IDs!A:B,2,0)</f>
        <v>321</v>
      </c>
      <c r="L36" s="7">
        <f t="shared" si="3"/>
        <v>3</v>
      </c>
      <c r="M36" s="7">
        <v>0</v>
      </c>
      <c r="N36" s="7">
        <f t="shared" si="0"/>
        <v>4</v>
      </c>
      <c r="O36" s="7">
        <f t="shared" si="1"/>
        <v>2</v>
      </c>
      <c r="P36" s="7">
        <f t="shared" si="2"/>
        <v>6</v>
      </c>
    </row>
    <row r="37" spans="1:16" ht="60" x14ac:dyDescent="0.25">
      <c r="A37" s="7">
        <v>42</v>
      </c>
      <c r="B37" s="7" t="s">
        <v>116</v>
      </c>
      <c r="C37" s="8" t="s">
        <v>290</v>
      </c>
      <c r="D37" s="7" t="s">
        <v>11</v>
      </c>
      <c r="E37" s="8" t="s">
        <v>614</v>
      </c>
      <c r="F37" s="8" t="s">
        <v>117</v>
      </c>
      <c r="G37" s="7" t="s">
        <v>544</v>
      </c>
      <c r="H37" s="7" t="s">
        <v>38</v>
      </c>
      <c r="I37" s="7">
        <f>VLOOKUP(H37,cardsort_group_IDs!A:B,2,0)</f>
        <v>205</v>
      </c>
      <c r="J37" s="7" t="s">
        <v>39</v>
      </c>
      <c r="K37" s="7">
        <f>VLOOKUP(J37,cardsort_subgroup_IDs!A:B,2,0)</f>
        <v>308</v>
      </c>
      <c r="L37" s="7">
        <f t="shared" si="3"/>
        <v>1</v>
      </c>
      <c r="M37" s="7">
        <v>0</v>
      </c>
      <c r="N37" s="7">
        <f t="shared" si="0"/>
        <v>0</v>
      </c>
      <c r="O37" s="7">
        <f t="shared" si="1"/>
        <v>2</v>
      </c>
      <c r="P37" s="7">
        <f t="shared" si="2"/>
        <v>2</v>
      </c>
    </row>
    <row r="38" spans="1:16" ht="75" x14ac:dyDescent="0.25">
      <c r="A38" s="7">
        <v>43</v>
      </c>
      <c r="B38" s="10" t="s">
        <v>118</v>
      </c>
      <c r="C38" s="10" t="s">
        <v>11</v>
      </c>
      <c r="D38" s="7" t="s">
        <v>455</v>
      </c>
      <c r="E38" s="8" t="s">
        <v>457</v>
      </c>
      <c r="F38" s="10" t="s">
        <v>119</v>
      </c>
      <c r="G38" s="7" t="s">
        <v>545</v>
      </c>
      <c r="H38" s="7" t="s">
        <v>546</v>
      </c>
      <c r="I38" s="7">
        <f>VLOOKUP(H38,cardsort_group_IDs!A:B,2,0)</f>
        <v>203</v>
      </c>
      <c r="J38" s="7" t="s">
        <v>120</v>
      </c>
      <c r="K38" s="7">
        <f>VLOOKUP(J38,cardsort_subgroup_IDs!A:B,2,0)</f>
        <v>323</v>
      </c>
      <c r="L38" s="7">
        <f t="shared" si="3"/>
        <v>3</v>
      </c>
      <c r="M38" s="7">
        <v>1</v>
      </c>
      <c r="N38" s="7">
        <f t="shared" si="0"/>
        <v>1</v>
      </c>
      <c r="O38" s="7">
        <f t="shared" si="1"/>
        <v>2</v>
      </c>
      <c r="P38" s="7">
        <f t="shared" si="2"/>
        <v>3</v>
      </c>
    </row>
    <row r="39" spans="1:16" ht="75" x14ac:dyDescent="0.25">
      <c r="A39" s="7">
        <v>44</v>
      </c>
      <c r="B39" s="7" t="s">
        <v>121</v>
      </c>
      <c r="C39" s="8" t="s">
        <v>11</v>
      </c>
      <c r="D39" s="8" t="s">
        <v>451</v>
      </c>
      <c r="E39" s="8" t="s">
        <v>573</v>
      </c>
      <c r="F39" s="8" t="s">
        <v>123</v>
      </c>
      <c r="G39" s="7" t="s">
        <v>544</v>
      </c>
      <c r="H39" s="7" t="s">
        <v>23</v>
      </c>
      <c r="I39" s="7">
        <f>VLOOKUP(H39,cardsort_group_IDs!A:B,2,0)</f>
        <v>202</v>
      </c>
      <c r="J39" s="7" t="s">
        <v>124</v>
      </c>
      <c r="K39" s="7">
        <f>VLOOKUP(J39,cardsort_subgroup_IDs!A:B,2,0)</f>
        <v>324</v>
      </c>
      <c r="L39" s="7">
        <f t="shared" si="3"/>
        <v>3</v>
      </c>
      <c r="M39" s="7">
        <v>0</v>
      </c>
      <c r="N39" s="7">
        <f t="shared" si="0"/>
        <v>1</v>
      </c>
      <c r="O39" s="7">
        <f t="shared" si="1"/>
        <v>2</v>
      </c>
      <c r="P39" s="7">
        <f t="shared" si="2"/>
        <v>3</v>
      </c>
    </row>
    <row r="40" spans="1:16" ht="60" x14ac:dyDescent="0.25">
      <c r="A40" s="7">
        <v>45</v>
      </c>
      <c r="B40" s="7" t="s">
        <v>125</v>
      </c>
      <c r="C40" s="8" t="s">
        <v>11</v>
      </c>
      <c r="D40" s="7" t="s">
        <v>11</v>
      </c>
      <c r="E40" s="8" t="s">
        <v>479</v>
      </c>
      <c r="F40" s="8" t="s">
        <v>126</v>
      </c>
      <c r="G40" s="7" t="s">
        <v>544</v>
      </c>
      <c r="H40" s="7" t="s">
        <v>23</v>
      </c>
      <c r="I40" s="7">
        <f>VLOOKUP(H40,cardsort_group_IDs!A:B,2,0)</f>
        <v>202</v>
      </c>
      <c r="J40" s="7" t="s">
        <v>127</v>
      </c>
      <c r="K40" s="7">
        <f>VLOOKUP(J40,cardsort_subgroup_IDs!A:B,2,0)</f>
        <v>325</v>
      </c>
      <c r="L40" s="7">
        <f t="shared" si="3"/>
        <v>1</v>
      </c>
      <c r="M40" s="7">
        <v>1</v>
      </c>
      <c r="N40" s="7">
        <f t="shared" si="0"/>
        <v>0</v>
      </c>
      <c r="O40" s="7">
        <f t="shared" si="1"/>
        <v>2</v>
      </c>
      <c r="P40" s="7">
        <f t="shared" si="2"/>
        <v>2</v>
      </c>
    </row>
    <row r="41" spans="1:16" ht="30" x14ac:dyDescent="0.25">
      <c r="A41" s="7">
        <v>46</v>
      </c>
      <c r="B41" s="7" t="s">
        <v>128</v>
      </c>
      <c r="C41" s="8" t="s">
        <v>11</v>
      </c>
      <c r="D41" s="7" t="s">
        <v>11</v>
      </c>
      <c r="E41" s="8" t="s">
        <v>482</v>
      </c>
      <c r="F41" s="8" t="s">
        <v>129</v>
      </c>
      <c r="G41" s="7" t="s">
        <v>544</v>
      </c>
      <c r="H41" s="7" t="s">
        <v>54</v>
      </c>
      <c r="I41" s="7">
        <f>VLOOKUP(H41,cardsort_group_IDs!A:B,2,0)</f>
        <v>206</v>
      </c>
      <c r="J41" s="7" t="s">
        <v>130</v>
      </c>
      <c r="K41" s="7">
        <f>VLOOKUP(J41,cardsort_subgroup_IDs!A:B,2,0)</f>
        <v>326</v>
      </c>
      <c r="L41" s="7">
        <f t="shared" si="3"/>
        <v>1</v>
      </c>
      <c r="M41" s="7">
        <v>0</v>
      </c>
      <c r="N41" s="7">
        <f t="shared" si="0"/>
        <v>0</v>
      </c>
      <c r="O41" s="7">
        <f t="shared" si="1"/>
        <v>2</v>
      </c>
      <c r="P41" s="7">
        <f t="shared" si="2"/>
        <v>2</v>
      </c>
    </row>
    <row r="42" spans="1:16" ht="30" x14ac:dyDescent="0.25">
      <c r="A42" s="7">
        <v>50</v>
      </c>
      <c r="B42" s="7" t="s">
        <v>131</v>
      </c>
      <c r="C42" s="8" t="s">
        <v>11</v>
      </c>
      <c r="D42" s="7" t="s">
        <v>11</v>
      </c>
      <c r="E42" s="8" t="s">
        <v>482</v>
      </c>
      <c r="F42" s="8" t="s">
        <v>132</v>
      </c>
      <c r="G42" s="7" t="s">
        <v>545</v>
      </c>
      <c r="H42" s="7" t="s">
        <v>546</v>
      </c>
      <c r="I42" s="7">
        <f>VLOOKUP(H42,cardsort_group_IDs!A:B,2,0)</f>
        <v>203</v>
      </c>
      <c r="J42" s="7" t="s">
        <v>27</v>
      </c>
      <c r="K42" s="7">
        <f>VLOOKUP(J42,cardsort_subgroup_IDs!A:B,2,0)</f>
        <v>305</v>
      </c>
      <c r="L42" s="7">
        <f t="shared" si="3"/>
        <v>1</v>
      </c>
      <c r="M42" s="7">
        <v>0</v>
      </c>
      <c r="N42" s="7">
        <f t="shared" si="0"/>
        <v>0</v>
      </c>
      <c r="O42" s="7">
        <f t="shared" si="1"/>
        <v>2</v>
      </c>
      <c r="P42" s="7">
        <f t="shared" si="2"/>
        <v>2</v>
      </c>
    </row>
    <row r="43" spans="1:16" x14ac:dyDescent="0.25">
      <c r="A43" s="7">
        <v>51</v>
      </c>
      <c r="B43" s="7" t="s">
        <v>133</v>
      </c>
      <c r="C43" s="8" t="s">
        <v>11</v>
      </c>
      <c r="D43" s="7" t="s">
        <v>11</v>
      </c>
      <c r="E43" s="8">
        <v>506</v>
      </c>
      <c r="F43" s="8" t="s">
        <v>134</v>
      </c>
      <c r="G43" s="7" t="s">
        <v>544</v>
      </c>
      <c r="H43" s="7" t="s">
        <v>17</v>
      </c>
      <c r="I43" s="7">
        <f>VLOOKUP(H43,cardsort_group_IDs!A:B,2,0)</f>
        <v>204</v>
      </c>
      <c r="J43" s="7" t="s">
        <v>30</v>
      </c>
      <c r="K43" s="7">
        <f>VLOOKUP(J43,cardsort_subgroup_IDs!A:B,2,0)</f>
        <v>306</v>
      </c>
      <c r="L43" s="7">
        <f t="shared" si="3"/>
        <v>1</v>
      </c>
      <c r="M43" s="7">
        <v>0</v>
      </c>
      <c r="N43" s="7">
        <f t="shared" si="0"/>
        <v>0</v>
      </c>
      <c r="O43" s="7">
        <f t="shared" si="1"/>
        <v>1</v>
      </c>
      <c r="P43" s="7">
        <f t="shared" si="2"/>
        <v>1</v>
      </c>
    </row>
    <row r="44" spans="1:16" ht="30" x14ac:dyDescent="0.25">
      <c r="A44" s="7">
        <v>54</v>
      </c>
      <c r="B44" s="7" t="s">
        <v>135</v>
      </c>
      <c r="C44" s="8" t="s">
        <v>11</v>
      </c>
      <c r="D44" s="7" t="s">
        <v>11</v>
      </c>
      <c r="E44" s="8">
        <v>506</v>
      </c>
      <c r="F44" s="8" t="s">
        <v>136</v>
      </c>
      <c r="G44" s="7" t="s">
        <v>544</v>
      </c>
      <c r="H44" s="7" t="s">
        <v>17</v>
      </c>
      <c r="I44" s="7">
        <f>VLOOKUP(H44,cardsort_group_IDs!A:B,2,0)</f>
        <v>204</v>
      </c>
      <c r="J44" s="7" t="s">
        <v>18</v>
      </c>
      <c r="K44" s="7">
        <f>VLOOKUP(J44,cardsort_subgroup_IDs!A:B,2,0)</f>
        <v>327</v>
      </c>
      <c r="L44" s="7">
        <f t="shared" si="3"/>
        <v>1</v>
      </c>
      <c r="M44" s="7">
        <v>0</v>
      </c>
      <c r="N44" s="7">
        <f t="shared" si="0"/>
        <v>0</v>
      </c>
      <c r="O44" s="7">
        <f t="shared" si="1"/>
        <v>1</v>
      </c>
      <c r="P44" s="7">
        <f t="shared" si="2"/>
        <v>1</v>
      </c>
    </row>
    <row r="45" spans="1:16" ht="135" x14ac:dyDescent="0.25">
      <c r="A45" s="7">
        <v>56</v>
      </c>
      <c r="B45" s="7" t="s">
        <v>137</v>
      </c>
      <c r="C45" s="8" t="s">
        <v>320</v>
      </c>
      <c r="D45" s="7" t="s">
        <v>455</v>
      </c>
      <c r="E45" s="8" t="s">
        <v>585</v>
      </c>
      <c r="F45" s="8" t="s">
        <v>138</v>
      </c>
      <c r="G45" s="7" t="s">
        <v>544</v>
      </c>
      <c r="H45" s="7" t="s">
        <v>546</v>
      </c>
      <c r="I45" s="7">
        <f>VLOOKUP(H45,cardsort_group_IDs!A:B,2,0)</f>
        <v>203</v>
      </c>
      <c r="J45" s="7" t="s">
        <v>102</v>
      </c>
      <c r="K45" s="7">
        <f>VLOOKUP(J45,cardsort_subgroup_IDs!A:B,2,0)</f>
        <v>321</v>
      </c>
      <c r="L45" s="7">
        <f t="shared" si="3"/>
        <v>3</v>
      </c>
      <c r="M45" s="7">
        <v>1</v>
      </c>
      <c r="N45" s="7">
        <f t="shared" si="0"/>
        <v>1</v>
      </c>
      <c r="O45" s="7">
        <f t="shared" si="1"/>
        <v>3</v>
      </c>
      <c r="P45" s="7">
        <f t="shared" si="2"/>
        <v>4</v>
      </c>
    </row>
    <row r="46" spans="1:16" ht="120" x14ac:dyDescent="0.25">
      <c r="A46" s="7">
        <v>57</v>
      </c>
      <c r="B46" s="12" t="s">
        <v>139</v>
      </c>
      <c r="C46" s="13" t="s">
        <v>11</v>
      </c>
      <c r="D46" s="7" t="s">
        <v>11</v>
      </c>
      <c r="E46" s="8">
        <v>509</v>
      </c>
      <c r="F46" s="8" t="s">
        <v>141</v>
      </c>
      <c r="G46" s="7" t="s">
        <v>544</v>
      </c>
      <c r="H46" s="7" t="s">
        <v>12</v>
      </c>
      <c r="I46" s="7">
        <f>VLOOKUP(H46,cardsort_group_IDs!A:B,2,0)</f>
        <v>201</v>
      </c>
      <c r="J46" s="7" t="s">
        <v>19</v>
      </c>
      <c r="K46" s="7">
        <f>VLOOKUP(J46,cardsort_subgroup_IDs!A:B,2,0)</f>
        <v>302</v>
      </c>
      <c r="L46" s="7">
        <f t="shared" si="3"/>
        <v>1</v>
      </c>
      <c r="M46" s="7">
        <v>0</v>
      </c>
      <c r="N46" s="7">
        <f t="shared" si="0"/>
        <v>0</v>
      </c>
      <c r="O46" s="7">
        <f t="shared" si="1"/>
        <v>1</v>
      </c>
      <c r="P46" s="7">
        <f t="shared" si="2"/>
        <v>1</v>
      </c>
    </row>
    <row r="47" spans="1:16" ht="360" x14ac:dyDescent="0.25">
      <c r="A47" s="7">
        <v>58</v>
      </c>
      <c r="B47" s="7" t="s">
        <v>142</v>
      </c>
      <c r="C47" s="8" t="s">
        <v>291</v>
      </c>
      <c r="D47" s="7" t="s">
        <v>11</v>
      </c>
      <c r="E47" s="8" t="s">
        <v>613</v>
      </c>
      <c r="F47" s="8" t="s">
        <v>143</v>
      </c>
      <c r="G47" s="7" t="s">
        <v>544</v>
      </c>
      <c r="H47" s="7" t="s">
        <v>546</v>
      </c>
      <c r="I47" s="7">
        <f>VLOOKUP(H47,cardsort_group_IDs!A:B,2,0)</f>
        <v>203</v>
      </c>
      <c r="J47" s="8" t="s">
        <v>64</v>
      </c>
      <c r="K47" s="7">
        <f>VLOOKUP(J47,cardsort_subgroup_IDs!A:B,2,0)</f>
        <v>313</v>
      </c>
      <c r="L47" s="7">
        <f t="shared" si="3"/>
        <v>1</v>
      </c>
      <c r="M47" s="7">
        <v>0</v>
      </c>
      <c r="N47" s="7">
        <f t="shared" si="0"/>
        <v>0</v>
      </c>
      <c r="O47" s="7">
        <f t="shared" si="1"/>
        <v>3</v>
      </c>
      <c r="P47" s="7">
        <f t="shared" si="2"/>
        <v>3</v>
      </c>
    </row>
    <row r="48" spans="1:16" x14ac:dyDescent="0.25">
      <c r="A48" s="7">
        <v>59</v>
      </c>
      <c r="B48" s="7" t="s">
        <v>144</v>
      </c>
      <c r="C48" s="8" t="s">
        <v>292</v>
      </c>
      <c r="D48" s="7" t="s">
        <v>455</v>
      </c>
      <c r="E48" s="8" t="s">
        <v>459</v>
      </c>
      <c r="F48" s="8" t="s">
        <v>145</v>
      </c>
      <c r="G48" s="7" t="s">
        <v>544</v>
      </c>
      <c r="H48" s="7" t="s">
        <v>546</v>
      </c>
      <c r="I48" s="7">
        <f>VLOOKUP(H48,cardsort_group_IDs!A:B,2,0)</f>
        <v>203</v>
      </c>
      <c r="J48" s="7" t="s">
        <v>27</v>
      </c>
      <c r="K48" s="7">
        <f>VLOOKUP(J48,cardsort_subgroup_IDs!A:B,2,0)</f>
        <v>305</v>
      </c>
      <c r="L48" s="7">
        <f t="shared" si="3"/>
        <v>3</v>
      </c>
      <c r="M48" s="7">
        <v>1</v>
      </c>
      <c r="N48" s="7">
        <f t="shared" si="0"/>
        <v>1</v>
      </c>
      <c r="O48" s="7">
        <f t="shared" si="1"/>
        <v>4</v>
      </c>
      <c r="P48" s="7">
        <f t="shared" si="2"/>
        <v>5</v>
      </c>
    </row>
    <row r="49" spans="1:16" ht="105" x14ac:dyDescent="0.25">
      <c r="A49" s="7">
        <v>62</v>
      </c>
      <c r="B49" s="14" t="s">
        <v>147</v>
      </c>
      <c r="C49" s="10" t="s">
        <v>148</v>
      </c>
      <c r="D49" s="8" t="s">
        <v>449</v>
      </c>
      <c r="E49" s="8" t="s">
        <v>576</v>
      </c>
      <c r="F49" s="8" t="s">
        <v>149</v>
      </c>
      <c r="G49" s="7" t="s">
        <v>544</v>
      </c>
      <c r="H49" s="7" t="s">
        <v>17</v>
      </c>
      <c r="I49" s="7">
        <f>VLOOKUP(H49,cardsort_group_IDs!A:B,2,0)</f>
        <v>204</v>
      </c>
      <c r="J49" s="7" t="s">
        <v>30</v>
      </c>
      <c r="K49" s="7">
        <f>VLOOKUP(J49,cardsort_subgroup_IDs!A:B,2,0)</f>
        <v>306</v>
      </c>
      <c r="L49" s="7">
        <f t="shared" si="3"/>
        <v>3</v>
      </c>
      <c r="M49" s="7">
        <v>0</v>
      </c>
      <c r="N49" s="7">
        <f t="shared" si="0"/>
        <v>1</v>
      </c>
      <c r="O49" s="7">
        <f t="shared" si="1"/>
        <v>8</v>
      </c>
      <c r="P49" s="7">
        <f t="shared" si="2"/>
        <v>9</v>
      </c>
    </row>
    <row r="50" spans="1:16" ht="90" x14ac:dyDescent="0.25">
      <c r="A50" s="7">
        <v>63</v>
      </c>
      <c r="B50" s="7" t="s">
        <v>150</v>
      </c>
      <c r="C50" s="8" t="s">
        <v>293</v>
      </c>
      <c r="D50" s="7" t="s">
        <v>449</v>
      </c>
      <c r="E50" s="8" t="s">
        <v>475</v>
      </c>
      <c r="F50" s="8" t="s">
        <v>152</v>
      </c>
      <c r="G50" s="7" t="s">
        <v>544</v>
      </c>
      <c r="H50" s="7" t="s">
        <v>38</v>
      </c>
      <c r="I50" s="7">
        <f>VLOOKUP(H50,cardsort_group_IDs!A:B,2,0)</f>
        <v>205</v>
      </c>
      <c r="J50" s="7" t="s">
        <v>43</v>
      </c>
      <c r="K50" s="7">
        <f>VLOOKUP(J50,cardsort_subgroup_IDs!A:B,2,0)</f>
        <v>309</v>
      </c>
      <c r="L50" s="7">
        <f t="shared" si="3"/>
        <v>3</v>
      </c>
      <c r="M50" s="7">
        <v>0</v>
      </c>
      <c r="N50" s="7">
        <f t="shared" si="0"/>
        <v>1</v>
      </c>
      <c r="O50" s="7">
        <f t="shared" si="1"/>
        <v>2</v>
      </c>
      <c r="P50" s="7">
        <f t="shared" si="2"/>
        <v>3</v>
      </c>
    </row>
    <row r="51" spans="1:16" ht="30" x14ac:dyDescent="0.25">
      <c r="A51" s="7">
        <v>64</v>
      </c>
      <c r="B51" s="7" t="s">
        <v>153</v>
      </c>
      <c r="C51" s="8" t="s">
        <v>11</v>
      </c>
      <c r="D51" s="8">
        <v>201</v>
      </c>
      <c r="E51" s="8" t="s">
        <v>11</v>
      </c>
      <c r="F51" s="8" t="s">
        <v>154</v>
      </c>
      <c r="G51" s="7" t="s">
        <v>544</v>
      </c>
      <c r="H51" s="7" t="s">
        <v>23</v>
      </c>
      <c r="I51" s="7">
        <f>VLOOKUP(H51,cardsort_group_IDs!A:B,2,0)</f>
        <v>202</v>
      </c>
      <c r="J51" s="7" t="s">
        <v>24</v>
      </c>
      <c r="K51" s="7">
        <f>VLOOKUP(J51,cardsort_subgroup_IDs!A:B,2,0)</f>
        <v>303</v>
      </c>
      <c r="L51" s="7">
        <f t="shared" si="3"/>
        <v>2</v>
      </c>
      <c r="M51" s="7">
        <v>0</v>
      </c>
      <c r="N51" s="7">
        <f t="shared" si="0"/>
        <v>1</v>
      </c>
      <c r="O51" s="7">
        <f t="shared" si="1"/>
        <v>0</v>
      </c>
      <c r="P51" s="7">
        <f t="shared" si="2"/>
        <v>1</v>
      </c>
    </row>
    <row r="52" spans="1:16" ht="150" x14ac:dyDescent="0.25">
      <c r="A52" s="7">
        <v>65</v>
      </c>
      <c r="B52" s="7" t="s">
        <v>155</v>
      </c>
      <c r="C52" s="8" t="s">
        <v>294</v>
      </c>
      <c r="D52" s="8" t="s">
        <v>574</v>
      </c>
      <c r="E52" s="8" t="s">
        <v>575</v>
      </c>
      <c r="F52" s="8" t="s">
        <v>156</v>
      </c>
      <c r="G52" s="7" t="s">
        <v>544</v>
      </c>
      <c r="H52" s="7" t="s">
        <v>23</v>
      </c>
      <c r="I52" s="7">
        <f>VLOOKUP(H52,cardsort_group_IDs!A:B,2,0)</f>
        <v>202</v>
      </c>
      <c r="J52" s="7" t="s">
        <v>127</v>
      </c>
      <c r="K52" s="7">
        <f>VLOOKUP(J52,cardsort_subgroup_IDs!A:B,2,0)</f>
        <v>325</v>
      </c>
      <c r="L52" s="7">
        <f t="shared" si="3"/>
        <v>3</v>
      </c>
      <c r="M52" s="7">
        <v>0</v>
      </c>
      <c r="N52" s="7">
        <f t="shared" si="0"/>
        <v>5</v>
      </c>
      <c r="O52" s="7">
        <f t="shared" si="1"/>
        <v>9</v>
      </c>
      <c r="P52" s="7">
        <f t="shared" si="2"/>
        <v>14</v>
      </c>
    </row>
    <row r="53" spans="1:16" ht="120" x14ac:dyDescent="0.25">
      <c r="A53" s="7">
        <v>66</v>
      </c>
      <c r="B53" s="14" t="s">
        <v>157</v>
      </c>
      <c r="C53" s="10" t="s">
        <v>295</v>
      </c>
      <c r="D53" s="7" t="s">
        <v>11</v>
      </c>
      <c r="E53" s="8">
        <v>235</v>
      </c>
      <c r="F53" s="8" t="s">
        <v>158</v>
      </c>
      <c r="G53" s="7" t="s">
        <v>544</v>
      </c>
      <c r="H53" s="7" t="s">
        <v>54</v>
      </c>
      <c r="I53" s="7">
        <f>VLOOKUP(H53,cardsort_group_IDs!A:B,2,0)</f>
        <v>206</v>
      </c>
      <c r="J53" s="7" t="s">
        <v>17</v>
      </c>
      <c r="K53" s="7">
        <f>VLOOKUP(J53,cardsort_subgroup_IDs!A:B,2,0)</f>
        <v>311</v>
      </c>
      <c r="L53" s="7">
        <f t="shared" si="3"/>
        <v>1</v>
      </c>
      <c r="M53" s="7">
        <v>0</v>
      </c>
      <c r="N53" s="7">
        <f t="shared" si="0"/>
        <v>0</v>
      </c>
      <c r="O53" s="7">
        <f t="shared" si="1"/>
        <v>1</v>
      </c>
      <c r="P53" s="7">
        <f t="shared" si="2"/>
        <v>1</v>
      </c>
    </row>
    <row r="54" spans="1:16" ht="30" x14ac:dyDescent="0.25">
      <c r="A54" s="7">
        <v>67</v>
      </c>
      <c r="B54" s="8" t="s">
        <v>159</v>
      </c>
      <c r="C54" s="8" t="s">
        <v>11</v>
      </c>
      <c r="D54" s="7" t="s">
        <v>455</v>
      </c>
      <c r="E54" s="8" t="s">
        <v>457</v>
      </c>
      <c r="F54" s="8" t="s">
        <v>160</v>
      </c>
      <c r="G54" s="7" t="s">
        <v>544</v>
      </c>
      <c r="H54" s="7" t="s">
        <v>54</v>
      </c>
      <c r="I54" s="7">
        <f>VLOOKUP(H54,cardsort_group_IDs!A:B,2,0)</f>
        <v>206</v>
      </c>
      <c r="J54" s="7" t="s">
        <v>130</v>
      </c>
      <c r="K54" s="7">
        <f>VLOOKUP(J54,cardsort_subgroup_IDs!A:B,2,0)</f>
        <v>326</v>
      </c>
      <c r="L54" s="7">
        <f t="shared" si="3"/>
        <v>3</v>
      </c>
      <c r="M54" s="7">
        <v>1</v>
      </c>
      <c r="N54" s="7">
        <f t="shared" si="0"/>
        <v>1</v>
      </c>
      <c r="O54" s="7">
        <f t="shared" si="1"/>
        <v>2</v>
      </c>
      <c r="P54" s="7">
        <f t="shared" si="2"/>
        <v>3</v>
      </c>
    </row>
    <row r="55" spans="1:16" x14ac:dyDescent="0.25">
      <c r="A55" s="7">
        <v>69</v>
      </c>
      <c r="B55" s="14" t="s">
        <v>161</v>
      </c>
      <c r="C55" s="10" t="s">
        <v>296</v>
      </c>
      <c r="D55" s="7" t="s">
        <v>447</v>
      </c>
      <c r="E55" s="8" t="s">
        <v>460</v>
      </c>
      <c r="F55" s="8" t="s">
        <v>162</v>
      </c>
      <c r="G55" s="7" t="s">
        <v>544</v>
      </c>
      <c r="H55" s="7" t="s">
        <v>78</v>
      </c>
      <c r="I55" s="7">
        <f>VLOOKUP(H55,cardsort_group_IDs!A:B,2,0)</f>
        <v>208</v>
      </c>
      <c r="J55" s="7" t="s">
        <v>87</v>
      </c>
      <c r="K55" s="7">
        <f>VLOOKUP(J55,cardsort_subgroup_IDs!A:B,2,0)</f>
        <v>318</v>
      </c>
      <c r="L55" s="7">
        <f t="shared" si="3"/>
        <v>3</v>
      </c>
      <c r="M55" s="7">
        <v>0</v>
      </c>
      <c r="N55" s="7">
        <f t="shared" si="0"/>
        <v>1</v>
      </c>
      <c r="O55" s="7">
        <f t="shared" si="1"/>
        <v>2</v>
      </c>
      <c r="P55" s="7">
        <f t="shared" si="2"/>
        <v>3</v>
      </c>
    </row>
    <row r="56" spans="1:16" ht="90" x14ac:dyDescent="0.25">
      <c r="A56" s="7">
        <v>70</v>
      </c>
      <c r="B56" s="7" t="s">
        <v>163</v>
      </c>
      <c r="C56" s="8" t="s">
        <v>297</v>
      </c>
      <c r="D56" s="7" t="s">
        <v>11</v>
      </c>
      <c r="E56" s="8" t="s">
        <v>298</v>
      </c>
      <c r="F56" s="8" t="s">
        <v>164</v>
      </c>
      <c r="G56" s="7" t="s">
        <v>544</v>
      </c>
      <c r="H56" s="7" t="s">
        <v>38</v>
      </c>
      <c r="I56" s="7">
        <f>VLOOKUP(H56,cardsort_group_IDs!A:B,2,0)</f>
        <v>205</v>
      </c>
      <c r="J56" s="7" t="s">
        <v>43</v>
      </c>
      <c r="K56" s="7">
        <f>VLOOKUP(J56,cardsort_subgroup_IDs!A:B,2,0)</f>
        <v>309</v>
      </c>
      <c r="L56" s="7">
        <f t="shared" si="3"/>
        <v>1</v>
      </c>
      <c r="M56" s="7">
        <v>0</v>
      </c>
      <c r="N56" s="7">
        <f t="shared" si="0"/>
        <v>0</v>
      </c>
      <c r="O56" s="7">
        <f t="shared" si="1"/>
        <v>2</v>
      </c>
      <c r="P56" s="7">
        <f t="shared" si="2"/>
        <v>2</v>
      </c>
    </row>
    <row r="57" spans="1:16" ht="45" x14ac:dyDescent="0.25">
      <c r="A57" s="7">
        <v>71</v>
      </c>
      <c r="B57" s="7" t="s">
        <v>165</v>
      </c>
      <c r="C57" s="8" t="s">
        <v>11</v>
      </c>
      <c r="D57" s="7" t="s">
        <v>455</v>
      </c>
      <c r="E57" s="8" t="s">
        <v>457</v>
      </c>
      <c r="F57" s="8" t="s">
        <v>166</v>
      </c>
      <c r="G57" s="7" t="s">
        <v>544</v>
      </c>
      <c r="H57" s="7" t="s">
        <v>17</v>
      </c>
      <c r="I57" s="7">
        <f>VLOOKUP(H57,cardsort_group_IDs!A:B,2,0)</f>
        <v>204</v>
      </c>
      <c r="J57" s="7" t="s">
        <v>18</v>
      </c>
      <c r="K57" s="7">
        <f>VLOOKUP(J57,cardsort_subgroup_IDs!A:B,2,0)</f>
        <v>327</v>
      </c>
      <c r="L57" s="7">
        <f t="shared" si="3"/>
        <v>3</v>
      </c>
      <c r="M57" s="7">
        <v>1</v>
      </c>
      <c r="N57" s="7">
        <f t="shared" si="0"/>
        <v>1</v>
      </c>
      <c r="O57" s="7">
        <f t="shared" si="1"/>
        <v>2</v>
      </c>
      <c r="P57" s="7">
        <f t="shared" si="2"/>
        <v>3</v>
      </c>
    </row>
    <row r="58" spans="1:16" ht="30" x14ac:dyDescent="0.25">
      <c r="A58" s="7">
        <v>72</v>
      </c>
      <c r="B58" s="8" t="s">
        <v>167</v>
      </c>
      <c r="C58" s="8" t="s">
        <v>11</v>
      </c>
      <c r="D58" s="7" t="s">
        <v>455</v>
      </c>
      <c r="E58" s="8" t="s">
        <v>457</v>
      </c>
      <c r="F58" s="8" t="s">
        <v>168</v>
      </c>
      <c r="G58" s="7" t="s">
        <v>544</v>
      </c>
      <c r="H58" s="7" t="s">
        <v>12</v>
      </c>
      <c r="I58" s="7">
        <f>VLOOKUP(H58,cardsort_group_IDs!A:B,2,0)</f>
        <v>201</v>
      </c>
      <c r="J58" s="7" t="s">
        <v>169</v>
      </c>
      <c r="K58" s="7">
        <f>VLOOKUP(J58,cardsort_subgroup_IDs!A:B,2,0)</f>
        <v>329</v>
      </c>
      <c r="L58" s="7">
        <f t="shared" si="3"/>
        <v>3</v>
      </c>
      <c r="M58" s="7">
        <v>1</v>
      </c>
      <c r="N58" s="7">
        <f t="shared" si="0"/>
        <v>1</v>
      </c>
      <c r="O58" s="7">
        <f t="shared" si="1"/>
        <v>2</v>
      </c>
      <c r="P58" s="7">
        <f t="shared" si="2"/>
        <v>3</v>
      </c>
    </row>
    <row r="59" spans="1:16" ht="105" x14ac:dyDescent="0.25">
      <c r="A59" s="7">
        <v>73</v>
      </c>
      <c r="B59" s="7" t="s">
        <v>170</v>
      </c>
      <c r="C59" s="8" t="s">
        <v>11</v>
      </c>
      <c r="D59" s="7" t="s">
        <v>455</v>
      </c>
      <c r="E59" s="8" t="s">
        <v>457</v>
      </c>
      <c r="F59" s="8" t="s">
        <v>171</v>
      </c>
      <c r="G59" s="7" t="s">
        <v>544</v>
      </c>
      <c r="H59" s="7" t="s">
        <v>23</v>
      </c>
      <c r="I59" s="7">
        <f>VLOOKUP(H59,cardsort_group_IDs!A:B,2,0)</f>
        <v>202</v>
      </c>
      <c r="J59" s="7" t="s">
        <v>172</v>
      </c>
      <c r="K59" s="7">
        <f>VLOOKUP(J59,cardsort_subgroup_IDs!A:B,2,0)</f>
        <v>304</v>
      </c>
      <c r="L59" s="7">
        <f t="shared" si="3"/>
        <v>3</v>
      </c>
      <c r="M59" s="7">
        <v>1</v>
      </c>
      <c r="N59" s="7">
        <f t="shared" si="0"/>
        <v>1</v>
      </c>
      <c r="O59" s="7">
        <f t="shared" si="1"/>
        <v>2</v>
      </c>
      <c r="P59" s="7">
        <f t="shared" si="2"/>
        <v>3</v>
      </c>
    </row>
    <row r="60" spans="1:16" ht="75" x14ac:dyDescent="0.25">
      <c r="A60" s="7">
        <v>74</v>
      </c>
      <c r="B60" s="7" t="s">
        <v>173</v>
      </c>
      <c r="C60" s="8" t="s">
        <v>11</v>
      </c>
      <c r="D60" s="7" t="s">
        <v>11</v>
      </c>
      <c r="E60" s="8">
        <v>183</v>
      </c>
      <c r="F60" s="8" t="s">
        <v>174</v>
      </c>
      <c r="G60" s="7" t="s">
        <v>544</v>
      </c>
      <c r="H60" s="7" t="s">
        <v>12</v>
      </c>
      <c r="I60" s="7">
        <f>VLOOKUP(H60,cardsort_group_IDs!A:B,2,0)</f>
        <v>201</v>
      </c>
      <c r="J60" s="7" t="s">
        <v>19</v>
      </c>
      <c r="K60" s="7">
        <f>VLOOKUP(J60,cardsort_subgroup_IDs!A:B,2,0)</f>
        <v>302</v>
      </c>
      <c r="L60" s="7">
        <f t="shared" si="3"/>
        <v>1</v>
      </c>
      <c r="M60" s="7">
        <v>0</v>
      </c>
      <c r="N60" s="7">
        <f t="shared" si="0"/>
        <v>0</v>
      </c>
      <c r="O60" s="7">
        <f t="shared" si="1"/>
        <v>1</v>
      </c>
      <c r="P60" s="7">
        <f t="shared" si="2"/>
        <v>1</v>
      </c>
    </row>
    <row r="61" spans="1:16" ht="90" x14ac:dyDescent="0.25">
      <c r="A61" s="7">
        <v>75</v>
      </c>
      <c r="B61" s="7" t="s">
        <v>175</v>
      </c>
      <c r="C61" s="8" t="s">
        <v>11</v>
      </c>
      <c r="D61" s="7" t="s">
        <v>533</v>
      </c>
      <c r="E61" s="8">
        <v>183</v>
      </c>
      <c r="F61" s="8" t="s">
        <v>176</v>
      </c>
      <c r="G61" s="7" t="s">
        <v>544</v>
      </c>
      <c r="H61" s="7" t="s">
        <v>38</v>
      </c>
      <c r="I61" s="7">
        <f>VLOOKUP(H61,cardsort_group_IDs!A:B,2,0)</f>
        <v>205</v>
      </c>
      <c r="J61" s="7" t="s">
        <v>91</v>
      </c>
      <c r="K61" s="7">
        <f>VLOOKUP(J61,cardsort_subgroup_IDs!A:B,2,0)</f>
        <v>319</v>
      </c>
      <c r="L61" s="7">
        <f t="shared" si="3"/>
        <v>3</v>
      </c>
      <c r="M61" s="7">
        <v>1</v>
      </c>
      <c r="N61" s="7">
        <f t="shared" si="0"/>
        <v>1</v>
      </c>
      <c r="O61" s="7">
        <f t="shared" si="1"/>
        <v>1</v>
      </c>
      <c r="P61" s="7">
        <f t="shared" si="2"/>
        <v>2</v>
      </c>
    </row>
    <row r="62" spans="1:16" ht="45" x14ac:dyDescent="0.25">
      <c r="A62" s="7">
        <v>76</v>
      </c>
      <c r="B62" s="7" t="s">
        <v>177</v>
      </c>
      <c r="C62" s="8" t="s">
        <v>299</v>
      </c>
      <c r="D62" s="7" t="s">
        <v>11</v>
      </c>
      <c r="E62" s="8" t="s">
        <v>480</v>
      </c>
      <c r="F62" s="8" t="s">
        <v>178</v>
      </c>
      <c r="G62" s="7" t="s">
        <v>544</v>
      </c>
      <c r="H62" s="7" t="s">
        <v>12</v>
      </c>
      <c r="I62" s="7">
        <f>VLOOKUP(H62,cardsort_group_IDs!A:B,2,0)</f>
        <v>201</v>
      </c>
      <c r="J62" s="7" t="s">
        <v>124</v>
      </c>
      <c r="K62" s="7">
        <f>VLOOKUP(J62,cardsort_subgroup_IDs!A:B,2,0)</f>
        <v>324</v>
      </c>
      <c r="L62" s="7">
        <f t="shared" si="3"/>
        <v>1</v>
      </c>
      <c r="M62" s="7">
        <v>0</v>
      </c>
      <c r="N62" s="7">
        <f t="shared" si="0"/>
        <v>0</v>
      </c>
      <c r="O62" s="7">
        <f t="shared" si="1"/>
        <v>2</v>
      </c>
      <c r="P62" s="7">
        <f t="shared" si="2"/>
        <v>2</v>
      </c>
    </row>
    <row r="63" spans="1:16" ht="30" x14ac:dyDescent="0.25">
      <c r="A63" s="7">
        <v>77</v>
      </c>
      <c r="B63" s="7" t="s">
        <v>179</v>
      </c>
      <c r="C63" s="8" t="s">
        <v>11</v>
      </c>
      <c r="D63" s="7" t="s">
        <v>455</v>
      </c>
      <c r="E63" s="8" t="s">
        <v>457</v>
      </c>
      <c r="F63" s="8" t="s">
        <v>180</v>
      </c>
      <c r="G63" s="7" t="s">
        <v>545</v>
      </c>
      <c r="H63" s="7" t="s">
        <v>546</v>
      </c>
      <c r="I63" s="7">
        <f>VLOOKUP(H63,cardsort_group_IDs!A:B,2,0)</f>
        <v>203</v>
      </c>
      <c r="J63" s="7" t="s">
        <v>27</v>
      </c>
      <c r="K63" s="7">
        <f>VLOOKUP(J63,cardsort_subgroup_IDs!A:B,2,0)</f>
        <v>305</v>
      </c>
      <c r="L63" s="7">
        <f t="shared" si="3"/>
        <v>3</v>
      </c>
      <c r="M63" s="7">
        <v>1</v>
      </c>
      <c r="N63" s="7">
        <f t="shared" si="0"/>
        <v>1</v>
      </c>
      <c r="O63" s="7">
        <f t="shared" si="1"/>
        <v>2</v>
      </c>
      <c r="P63" s="7">
        <f t="shared" si="2"/>
        <v>3</v>
      </c>
    </row>
    <row r="64" spans="1:16" ht="30" x14ac:dyDescent="0.25">
      <c r="A64" s="7">
        <v>78</v>
      </c>
      <c r="B64" s="7" t="s">
        <v>181</v>
      </c>
      <c r="C64" s="8" t="s">
        <v>182</v>
      </c>
      <c r="D64" s="7" t="s">
        <v>598</v>
      </c>
      <c r="E64" s="8" t="s">
        <v>599</v>
      </c>
      <c r="F64" s="8" t="s">
        <v>183</v>
      </c>
      <c r="G64" s="7" t="s">
        <v>545</v>
      </c>
      <c r="H64" s="7" t="s">
        <v>546</v>
      </c>
      <c r="I64" s="7">
        <f>VLOOKUP(H64,cardsort_group_IDs!A:B,2,0)</f>
        <v>203</v>
      </c>
      <c r="J64" s="8" t="s">
        <v>64</v>
      </c>
      <c r="K64" s="7">
        <f>VLOOKUP(J64,cardsort_subgroup_IDs!A:B,2,0)</f>
        <v>313</v>
      </c>
      <c r="L64" s="7">
        <f t="shared" ref="L64:L111" si="4">IF(E64="-",0,1)+IF(D64="-",0,2)</f>
        <v>3</v>
      </c>
      <c r="M64" s="7">
        <v>0</v>
      </c>
      <c r="N64" s="7">
        <f t="shared" ref="N64:N112" si="5">IF(D64="-",0,LEN(D64)-LEN(SUBSTITUTE(D64,";",""))+1)</f>
        <v>5</v>
      </c>
      <c r="O64" s="7">
        <f t="shared" ref="O64:O111" si="6">IF(E64="-",0,LEN(E64)-LEN(SUBSTITUTE(E64,";",""))+1)</f>
        <v>5</v>
      </c>
      <c r="P64" s="7">
        <f t="shared" ref="P64:P111" si="7">SUM(N64:O64)</f>
        <v>10</v>
      </c>
    </row>
    <row r="65" spans="1:16" ht="120" x14ac:dyDescent="0.25">
      <c r="A65" s="7">
        <v>79</v>
      </c>
      <c r="B65" s="7" t="s">
        <v>184</v>
      </c>
      <c r="C65" s="8" t="s">
        <v>11</v>
      </c>
      <c r="D65" s="7" t="s">
        <v>454</v>
      </c>
      <c r="E65" s="8" t="s">
        <v>481</v>
      </c>
      <c r="F65" s="8" t="s">
        <v>185</v>
      </c>
      <c r="G65" s="7" t="s">
        <v>545</v>
      </c>
      <c r="H65" s="7" t="s">
        <v>78</v>
      </c>
      <c r="I65" s="7">
        <f>VLOOKUP(H65,cardsort_group_IDs!A:B,2,0)</f>
        <v>208</v>
      </c>
      <c r="J65" s="7" t="s">
        <v>87</v>
      </c>
      <c r="K65" s="7">
        <f>VLOOKUP(J65,cardsort_subgroup_IDs!A:B,2,0)</f>
        <v>318</v>
      </c>
      <c r="L65" s="7">
        <f t="shared" si="4"/>
        <v>3</v>
      </c>
      <c r="M65" s="7">
        <v>0</v>
      </c>
      <c r="N65" s="7">
        <f t="shared" si="5"/>
        <v>1</v>
      </c>
      <c r="O65" s="7">
        <f t="shared" si="6"/>
        <v>2</v>
      </c>
      <c r="P65" s="7">
        <f t="shared" si="7"/>
        <v>3</v>
      </c>
    </row>
    <row r="66" spans="1:16" ht="165" x14ac:dyDescent="0.25">
      <c r="A66" s="7">
        <v>80</v>
      </c>
      <c r="B66" s="7" t="s">
        <v>186</v>
      </c>
      <c r="C66" s="8" t="s">
        <v>11</v>
      </c>
      <c r="D66" s="7" t="s">
        <v>11</v>
      </c>
      <c r="E66" s="8">
        <v>509</v>
      </c>
      <c r="F66" s="8" t="s">
        <v>187</v>
      </c>
      <c r="G66" s="7" t="s">
        <v>545</v>
      </c>
      <c r="H66" s="7" t="s">
        <v>78</v>
      </c>
      <c r="I66" s="7">
        <f>VLOOKUP(H66,cardsort_group_IDs!A:B,2,0)</f>
        <v>208</v>
      </c>
      <c r="J66" s="7" t="s">
        <v>38</v>
      </c>
      <c r="K66" s="7">
        <f>VLOOKUP(J66,cardsort_subgroup_IDs!A:B,2,0)</f>
        <v>317</v>
      </c>
      <c r="L66" s="7">
        <f t="shared" si="4"/>
        <v>1</v>
      </c>
      <c r="M66" s="7">
        <v>0</v>
      </c>
      <c r="N66" s="7">
        <f t="shared" si="5"/>
        <v>0</v>
      </c>
      <c r="O66" s="7">
        <f t="shared" si="6"/>
        <v>1</v>
      </c>
      <c r="P66" s="7">
        <f t="shared" si="7"/>
        <v>1</v>
      </c>
    </row>
    <row r="67" spans="1:16" ht="105" x14ac:dyDescent="0.25">
      <c r="A67" s="7">
        <v>81</v>
      </c>
      <c r="B67" s="7" t="s">
        <v>188</v>
      </c>
      <c r="C67" s="8" t="s">
        <v>11</v>
      </c>
      <c r="D67" s="7" t="s">
        <v>449</v>
      </c>
      <c r="E67" s="8">
        <v>202</v>
      </c>
      <c r="F67" s="8" t="s">
        <v>189</v>
      </c>
      <c r="G67" s="7" t="s">
        <v>544</v>
      </c>
      <c r="H67" s="7" t="s">
        <v>38</v>
      </c>
      <c r="I67" s="7">
        <f>VLOOKUP(H67,cardsort_group_IDs!A:B,2,0)</f>
        <v>205</v>
      </c>
      <c r="J67" s="7" t="s">
        <v>91</v>
      </c>
      <c r="K67" s="7">
        <f>VLOOKUP(J67,cardsort_subgroup_IDs!A:B,2,0)</f>
        <v>319</v>
      </c>
      <c r="L67" s="7">
        <f t="shared" si="4"/>
        <v>3</v>
      </c>
      <c r="M67" s="7">
        <v>0</v>
      </c>
      <c r="N67" s="7">
        <f t="shared" si="5"/>
        <v>1</v>
      </c>
      <c r="O67" s="7">
        <f t="shared" si="6"/>
        <v>1</v>
      </c>
      <c r="P67" s="7">
        <f t="shared" si="7"/>
        <v>2</v>
      </c>
    </row>
    <row r="68" spans="1:16" ht="45" x14ac:dyDescent="0.25">
      <c r="A68" s="7">
        <v>82</v>
      </c>
      <c r="B68" s="7" t="s">
        <v>190</v>
      </c>
      <c r="C68" s="8" t="s">
        <v>11</v>
      </c>
      <c r="D68" s="7" t="s">
        <v>11</v>
      </c>
      <c r="E68" s="8">
        <v>509</v>
      </c>
      <c r="F68" s="8" t="s">
        <v>191</v>
      </c>
      <c r="G68" s="7" t="s">
        <v>544</v>
      </c>
      <c r="H68" s="7" t="s">
        <v>12</v>
      </c>
      <c r="I68" s="7">
        <f>VLOOKUP(H68,cardsort_group_IDs!A:B,2,0)</f>
        <v>201</v>
      </c>
      <c r="J68" s="7" t="s">
        <v>169</v>
      </c>
      <c r="K68" s="7">
        <f>VLOOKUP(J68,cardsort_subgroup_IDs!A:B,2,0)</f>
        <v>329</v>
      </c>
      <c r="L68" s="7">
        <f t="shared" si="4"/>
        <v>1</v>
      </c>
      <c r="M68" s="7">
        <v>0</v>
      </c>
      <c r="N68" s="7">
        <f t="shared" si="5"/>
        <v>0</v>
      </c>
      <c r="O68" s="7">
        <f t="shared" si="6"/>
        <v>1</v>
      </c>
      <c r="P68" s="7">
        <f t="shared" si="7"/>
        <v>1</v>
      </c>
    </row>
    <row r="69" spans="1:16" ht="75" x14ac:dyDescent="0.25">
      <c r="A69" s="7">
        <v>83</v>
      </c>
      <c r="B69" s="8" t="s">
        <v>192</v>
      </c>
      <c r="C69" s="8" t="s">
        <v>300</v>
      </c>
      <c r="D69" s="7" t="s">
        <v>11</v>
      </c>
      <c r="E69" s="8" t="s">
        <v>480</v>
      </c>
      <c r="F69" s="8" t="s">
        <v>193</v>
      </c>
      <c r="G69" s="7" t="s">
        <v>544</v>
      </c>
      <c r="H69" s="7" t="s">
        <v>546</v>
      </c>
      <c r="I69" s="7">
        <f>VLOOKUP(H69,cardsort_group_IDs!A:B,2,0)</f>
        <v>203</v>
      </c>
      <c r="J69" s="7" t="s">
        <v>146</v>
      </c>
      <c r="K69" s="7">
        <f>VLOOKUP(J69,cardsort_subgroup_IDs!A:B,2,0)</f>
        <v>328</v>
      </c>
      <c r="L69" s="7">
        <f t="shared" si="4"/>
        <v>1</v>
      </c>
      <c r="M69" s="7">
        <v>0</v>
      </c>
      <c r="N69" s="7">
        <f t="shared" si="5"/>
        <v>0</v>
      </c>
      <c r="O69" s="7">
        <f t="shared" si="6"/>
        <v>2</v>
      </c>
      <c r="P69" s="7">
        <f t="shared" si="7"/>
        <v>2</v>
      </c>
    </row>
    <row r="70" spans="1:16" ht="120" x14ac:dyDescent="0.25">
      <c r="A70" s="7">
        <v>84</v>
      </c>
      <c r="B70" s="7" t="s">
        <v>124</v>
      </c>
      <c r="C70" s="8" t="s">
        <v>11</v>
      </c>
      <c r="D70" s="8" t="s">
        <v>451</v>
      </c>
      <c r="E70" s="8">
        <v>501</v>
      </c>
      <c r="F70" s="8" t="s">
        <v>194</v>
      </c>
      <c r="G70" s="7" t="s">
        <v>544</v>
      </c>
      <c r="H70" s="7" t="s">
        <v>23</v>
      </c>
      <c r="I70" s="7">
        <f>VLOOKUP(H70,cardsort_group_IDs!A:B,2,0)</f>
        <v>202</v>
      </c>
      <c r="J70" s="7" t="s">
        <v>124</v>
      </c>
      <c r="K70" s="7">
        <f>VLOOKUP(J70,cardsort_subgroup_IDs!A:B,2,0)</f>
        <v>324</v>
      </c>
      <c r="L70" s="7">
        <f t="shared" si="4"/>
        <v>3</v>
      </c>
      <c r="M70" s="7">
        <v>0</v>
      </c>
      <c r="N70" s="7">
        <f t="shared" si="5"/>
        <v>1</v>
      </c>
      <c r="O70" s="7">
        <f t="shared" si="6"/>
        <v>1</v>
      </c>
      <c r="P70" s="7">
        <f t="shared" si="7"/>
        <v>2</v>
      </c>
    </row>
    <row r="71" spans="1:16" ht="60" x14ac:dyDescent="0.25">
      <c r="A71" s="7">
        <v>85</v>
      </c>
      <c r="B71" s="7" t="s">
        <v>195</v>
      </c>
      <c r="C71" s="8" t="s">
        <v>11</v>
      </c>
      <c r="D71" s="7" t="s">
        <v>477</v>
      </c>
      <c r="E71" s="8" t="s">
        <v>11</v>
      </c>
      <c r="F71" s="8" t="s">
        <v>196</v>
      </c>
      <c r="G71" s="7" t="s">
        <v>544</v>
      </c>
      <c r="H71" s="7" t="s">
        <v>17</v>
      </c>
      <c r="I71" s="7">
        <f>VLOOKUP(H71,cardsort_group_IDs!A:B,2,0)</f>
        <v>204</v>
      </c>
      <c r="J71" s="7" t="s">
        <v>30</v>
      </c>
      <c r="K71" s="7">
        <f>VLOOKUP(J71,cardsort_subgroup_IDs!A:B,2,0)</f>
        <v>306</v>
      </c>
      <c r="L71" s="7">
        <f t="shared" si="4"/>
        <v>2</v>
      </c>
      <c r="M71" s="7">
        <v>0</v>
      </c>
      <c r="N71" s="7">
        <f t="shared" si="5"/>
        <v>1</v>
      </c>
      <c r="O71" s="7">
        <f t="shared" si="6"/>
        <v>0</v>
      </c>
      <c r="P71" s="7">
        <f t="shared" si="7"/>
        <v>1</v>
      </c>
    </row>
    <row r="72" spans="1:16" ht="135" x14ac:dyDescent="0.25">
      <c r="A72" s="7">
        <v>87</v>
      </c>
      <c r="B72" s="7" t="s">
        <v>197</v>
      </c>
      <c r="C72" s="8" t="s">
        <v>11</v>
      </c>
      <c r="D72" s="7" t="s">
        <v>450</v>
      </c>
      <c r="E72" s="8" t="s">
        <v>584</v>
      </c>
      <c r="F72" s="8" t="s">
        <v>198</v>
      </c>
      <c r="G72" s="7" t="s">
        <v>544</v>
      </c>
      <c r="H72" s="7" t="s">
        <v>17</v>
      </c>
      <c r="I72" s="7">
        <f>VLOOKUP(H72,cardsort_group_IDs!A:B,2,0)</f>
        <v>204</v>
      </c>
      <c r="J72" s="7" t="s">
        <v>30</v>
      </c>
      <c r="K72" s="7">
        <f>VLOOKUP(J72,cardsort_subgroup_IDs!A:B,2,0)</f>
        <v>306</v>
      </c>
      <c r="L72" s="7">
        <f t="shared" si="4"/>
        <v>3</v>
      </c>
      <c r="M72" s="7">
        <v>0</v>
      </c>
      <c r="N72" s="7">
        <f t="shared" si="5"/>
        <v>1</v>
      </c>
      <c r="O72" s="7">
        <f t="shared" si="6"/>
        <v>2</v>
      </c>
      <c r="P72" s="7">
        <f t="shared" si="7"/>
        <v>3</v>
      </c>
    </row>
    <row r="73" spans="1:16" ht="105" x14ac:dyDescent="0.25">
      <c r="A73" s="7">
        <v>88</v>
      </c>
      <c r="B73" s="7" t="s">
        <v>199</v>
      </c>
      <c r="C73" s="8" t="s">
        <v>321</v>
      </c>
      <c r="D73" t="s">
        <v>551</v>
      </c>
      <c r="E73" s="8" t="s">
        <v>442</v>
      </c>
      <c r="F73" s="8" t="s">
        <v>200</v>
      </c>
      <c r="G73" s="7" t="s">
        <v>544</v>
      </c>
      <c r="H73" s="7" t="s">
        <v>38</v>
      </c>
      <c r="I73" s="7">
        <f>VLOOKUP(H73,cardsort_group_IDs!A:B,2,0)</f>
        <v>205</v>
      </c>
      <c r="J73" s="7" t="s">
        <v>91</v>
      </c>
      <c r="K73" s="7">
        <f>VLOOKUP(J73,cardsort_subgroup_IDs!A:B,2,0)</f>
        <v>319</v>
      </c>
      <c r="L73" s="7">
        <f t="shared" si="4"/>
        <v>3</v>
      </c>
      <c r="M73" s="7">
        <v>0</v>
      </c>
      <c r="N73" s="7">
        <f t="shared" si="5"/>
        <v>1</v>
      </c>
      <c r="O73" s="7">
        <f t="shared" si="6"/>
        <v>2</v>
      </c>
      <c r="P73" s="7">
        <f t="shared" si="7"/>
        <v>3</v>
      </c>
    </row>
    <row r="74" spans="1:16" ht="60" x14ac:dyDescent="0.25">
      <c r="A74" s="7">
        <v>89</v>
      </c>
      <c r="B74" s="7" t="s">
        <v>201</v>
      </c>
      <c r="C74" s="8" t="s">
        <v>11</v>
      </c>
      <c r="D74" s="7" t="s">
        <v>468</v>
      </c>
      <c r="E74" s="8" t="s">
        <v>467</v>
      </c>
      <c r="F74" s="8" t="s">
        <v>202</v>
      </c>
      <c r="G74" s="7" t="s">
        <v>544</v>
      </c>
      <c r="H74" s="7" t="s">
        <v>38</v>
      </c>
      <c r="I74" s="7">
        <f>VLOOKUP(H74,cardsort_group_IDs!A:B,2,0)</f>
        <v>205</v>
      </c>
      <c r="J74" s="7" t="s">
        <v>91</v>
      </c>
      <c r="K74" s="7">
        <f>VLOOKUP(J74,cardsort_subgroup_IDs!A:B,2,0)</f>
        <v>319</v>
      </c>
      <c r="L74" s="7">
        <f t="shared" si="4"/>
        <v>3</v>
      </c>
      <c r="M74" s="7">
        <v>1</v>
      </c>
      <c r="N74" s="7">
        <f t="shared" si="5"/>
        <v>2</v>
      </c>
      <c r="O74" s="7">
        <f t="shared" si="6"/>
        <v>2</v>
      </c>
      <c r="P74" s="7">
        <f t="shared" si="7"/>
        <v>4</v>
      </c>
    </row>
    <row r="75" spans="1:16" ht="105" x14ac:dyDescent="0.25">
      <c r="A75" s="7">
        <v>90</v>
      </c>
      <c r="B75" s="7" t="s">
        <v>203</v>
      </c>
      <c r="C75" s="8" t="s">
        <v>301</v>
      </c>
      <c r="D75" s="7" t="s">
        <v>559</v>
      </c>
      <c r="E75" s="8" t="s">
        <v>560</v>
      </c>
      <c r="F75" s="8" t="s">
        <v>204</v>
      </c>
      <c r="G75" s="7" t="s">
        <v>545</v>
      </c>
      <c r="H75" s="7" t="s">
        <v>38</v>
      </c>
      <c r="I75" s="7">
        <f>VLOOKUP(H75,cardsort_group_IDs!A:B,2,0)</f>
        <v>205</v>
      </c>
      <c r="J75" s="7" t="s">
        <v>91</v>
      </c>
      <c r="K75" s="7">
        <f>VLOOKUP(J75,cardsort_subgroup_IDs!A:B,2,0)</f>
        <v>319</v>
      </c>
      <c r="L75" s="7">
        <f t="shared" si="4"/>
        <v>3</v>
      </c>
      <c r="M75" s="7">
        <v>1</v>
      </c>
      <c r="N75" s="7">
        <f t="shared" si="5"/>
        <v>2</v>
      </c>
      <c r="O75" s="7">
        <f t="shared" si="6"/>
        <v>9</v>
      </c>
      <c r="P75" s="7">
        <f t="shared" si="7"/>
        <v>11</v>
      </c>
    </row>
    <row r="76" spans="1:16" ht="75" x14ac:dyDescent="0.25">
      <c r="A76" s="7">
        <v>91</v>
      </c>
      <c r="B76" s="7" t="s">
        <v>205</v>
      </c>
      <c r="C76" s="8" t="s">
        <v>302</v>
      </c>
      <c r="D76" s="7" t="s">
        <v>450</v>
      </c>
      <c r="E76" s="8" t="s">
        <v>579</v>
      </c>
      <c r="F76" s="8" t="s">
        <v>206</v>
      </c>
      <c r="G76" s="7" t="s">
        <v>545</v>
      </c>
      <c r="H76" s="7" t="s">
        <v>17</v>
      </c>
      <c r="I76" s="7">
        <f>VLOOKUP(H76,cardsort_group_IDs!A:B,2,0)</f>
        <v>204</v>
      </c>
      <c r="J76" s="7" t="s">
        <v>97</v>
      </c>
      <c r="K76" s="7">
        <f>VLOOKUP(J76,cardsort_subgroup_IDs!A:B,2,0)</f>
        <v>320</v>
      </c>
      <c r="L76" s="7">
        <f t="shared" si="4"/>
        <v>3</v>
      </c>
      <c r="M76" s="7">
        <v>0</v>
      </c>
      <c r="N76" s="7">
        <f t="shared" si="5"/>
        <v>1</v>
      </c>
      <c r="O76" s="7">
        <f t="shared" si="6"/>
        <v>3</v>
      </c>
      <c r="P76" s="7">
        <f t="shared" si="7"/>
        <v>4</v>
      </c>
    </row>
    <row r="77" spans="1:16" ht="30" x14ac:dyDescent="0.25">
      <c r="A77" s="7">
        <v>92</v>
      </c>
      <c r="B77" s="8" t="s">
        <v>207</v>
      </c>
      <c r="C77" s="8" t="s">
        <v>11</v>
      </c>
      <c r="D77" s="7" t="s">
        <v>455</v>
      </c>
      <c r="E77" s="8" t="s">
        <v>457</v>
      </c>
      <c r="F77" s="10" t="s">
        <v>208</v>
      </c>
      <c r="G77" s="7" t="s">
        <v>545</v>
      </c>
      <c r="H77" s="7" t="s">
        <v>54</v>
      </c>
      <c r="I77" s="7">
        <f>VLOOKUP(H77,cardsort_group_IDs!A:B,2,0)</f>
        <v>206</v>
      </c>
      <c r="J77" s="7" t="s">
        <v>130</v>
      </c>
      <c r="K77" s="7">
        <f>VLOOKUP(J77,cardsort_subgroup_IDs!A:B,2,0)</f>
        <v>326</v>
      </c>
      <c r="L77" s="7">
        <f t="shared" si="4"/>
        <v>3</v>
      </c>
      <c r="M77" s="7">
        <v>1</v>
      </c>
      <c r="N77" s="7">
        <f t="shared" si="5"/>
        <v>1</v>
      </c>
      <c r="O77" s="7">
        <f t="shared" si="6"/>
        <v>2</v>
      </c>
      <c r="P77" s="7">
        <f t="shared" si="7"/>
        <v>3</v>
      </c>
    </row>
    <row r="78" spans="1:16" ht="45" x14ac:dyDescent="0.25">
      <c r="A78" s="7">
        <v>93</v>
      </c>
      <c r="B78" s="14" t="s">
        <v>209</v>
      </c>
      <c r="C78" s="10" t="s">
        <v>11</v>
      </c>
      <c r="D78" s="7" t="s">
        <v>11</v>
      </c>
      <c r="E78" s="8">
        <v>509</v>
      </c>
      <c r="F78" s="8" t="s">
        <v>210</v>
      </c>
      <c r="G78" s="7" t="s">
        <v>544</v>
      </c>
      <c r="H78" s="7" t="s">
        <v>12</v>
      </c>
      <c r="I78" s="7">
        <f>VLOOKUP(H78,cardsort_group_IDs!A:B,2,0)</f>
        <v>201</v>
      </c>
      <c r="J78" s="7" t="s">
        <v>19</v>
      </c>
      <c r="K78" s="7">
        <f>VLOOKUP(J78,cardsort_subgroup_IDs!A:B,2,0)</f>
        <v>302</v>
      </c>
      <c r="L78" s="7">
        <f t="shared" si="4"/>
        <v>1</v>
      </c>
      <c r="M78" s="7">
        <v>0</v>
      </c>
      <c r="N78" s="7">
        <f t="shared" si="5"/>
        <v>0</v>
      </c>
      <c r="O78" s="7">
        <f t="shared" si="6"/>
        <v>1</v>
      </c>
      <c r="P78" s="7">
        <f t="shared" si="7"/>
        <v>1</v>
      </c>
    </row>
    <row r="79" spans="1:16" x14ac:dyDescent="0.25">
      <c r="A79" s="7">
        <v>94</v>
      </c>
      <c r="B79" s="7" t="s">
        <v>211</v>
      </c>
      <c r="C79" s="8" t="s">
        <v>303</v>
      </c>
      <c r="D79" s="7" t="s">
        <v>470</v>
      </c>
      <c r="E79" s="8" t="s">
        <v>469</v>
      </c>
      <c r="F79" s="8" t="s">
        <v>212</v>
      </c>
      <c r="G79" s="7" t="s">
        <v>544</v>
      </c>
      <c r="H79" s="7" t="s">
        <v>78</v>
      </c>
      <c r="I79" s="7">
        <f>VLOOKUP(H79,cardsort_group_IDs!A:B,2,0)</f>
        <v>208</v>
      </c>
      <c r="J79" s="7" t="s">
        <v>87</v>
      </c>
      <c r="K79" s="7">
        <f>VLOOKUP(J79,cardsort_subgroup_IDs!A:B,2,0)</f>
        <v>318</v>
      </c>
      <c r="L79" s="7">
        <f t="shared" si="4"/>
        <v>3</v>
      </c>
      <c r="M79" s="7">
        <v>1</v>
      </c>
      <c r="N79" s="7">
        <f t="shared" si="5"/>
        <v>2</v>
      </c>
      <c r="O79" s="7">
        <f t="shared" si="6"/>
        <v>2</v>
      </c>
      <c r="P79" s="7">
        <f t="shared" si="7"/>
        <v>4</v>
      </c>
    </row>
    <row r="80" spans="1:16" ht="45" x14ac:dyDescent="0.25">
      <c r="A80" s="7">
        <v>95</v>
      </c>
      <c r="B80" s="7" t="s">
        <v>213</v>
      </c>
      <c r="C80" s="8" t="s">
        <v>214</v>
      </c>
      <c r="D80" s="8" t="s">
        <v>451</v>
      </c>
      <c r="E80" s="8" t="s">
        <v>618</v>
      </c>
      <c r="F80" s="8" t="s">
        <v>215</v>
      </c>
      <c r="G80" s="7" t="s">
        <v>544</v>
      </c>
      <c r="H80" s="7" t="s">
        <v>23</v>
      </c>
      <c r="I80" s="7">
        <f>VLOOKUP(H80,cardsort_group_IDs!A:B,2,0)</f>
        <v>202</v>
      </c>
      <c r="J80" s="7" t="s">
        <v>172</v>
      </c>
      <c r="K80" s="7">
        <f>VLOOKUP(J80,cardsort_subgroup_IDs!A:B,2,0)</f>
        <v>304</v>
      </c>
      <c r="L80" s="7">
        <f t="shared" si="4"/>
        <v>3</v>
      </c>
      <c r="M80" s="7">
        <v>0</v>
      </c>
      <c r="N80" s="7">
        <f t="shared" si="5"/>
        <v>1</v>
      </c>
      <c r="O80" s="7">
        <f t="shared" si="6"/>
        <v>2</v>
      </c>
      <c r="P80" s="7">
        <f t="shared" si="7"/>
        <v>3</v>
      </c>
    </row>
    <row r="81" spans="1:16" ht="30" x14ac:dyDescent="0.25">
      <c r="A81" s="7">
        <v>97</v>
      </c>
      <c r="B81" s="7" t="s">
        <v>216</v>
      </c>
      <c r="C81" s="8" t="s">
        <v>11</v>
      </c>
      <c r="D81" s="7" t="s">
        <v>11</v>
      </c>
      <c r="E81" s="8">
        <v>508</v>
      </c>
      <c r="F81" s="8" t="s">
        <v>217</v>
      </c>
      <c r="G81" s="7" t="s">
        <v>544</v>
      </c>
      <c r="H81" s="7" t="s">
        <v>23</v>
      </c>
      <c r="I81" s="7">
        <f>VLOOKUP(H81,cardsort_group_IDs!A:B,2,0)</f>
        <v>202</v>
      </c>
      <c r="J81" s="7" t="s">
        <v>124</v>
      </c>
      <c r="K81" s="7">
        <f>VLOOKUP(J81,cardsort_subgroup_IDs!A:B,2,0)</f>
        <v>324</v>
      </c>
      <c r="L81" s="7">
        <f t="shared" si="4"/>
        <v>1</v>
      </c>
      <c r="M81" s="7">
        <v>0</v>
      </c>
      <c r="N81" s="7">
        <f t="shared" si="5"/>
        <v>0</v>
      </c>
      <c r="O81" s="7">
        <f t="shared" si="6"/>
        <v>1</v>
      </c>
      <c r="P81" s="7">
        <f t="shared" si="7"/>
        <v>1</v>
      </c>
    </row>
    <row r="82" spans="1:16" ht="30" x14ac:dyDescent="0.25">
      <c r="A82" s="7">
        <v>98</v>
      </c>
      <c r="B82" s="7" t="s">
        <v>218</v>
      </c>
      <c r="C82" s="8" t="s">
        <v>304</v>
      </c>
      <c r="D82">
        <v>209</v>
      </c>
      <c r="E82" s="8">
        <v>506</v>
      </c>
      <c r="F82" s="8" t="s">
        <v>219</v>
      </c>
      <c r="G82" s="7" t="s">
        <v>544</v>
      </c>
      <c r="H82" s="7" t="s">
        <v>12</v>
      </c>
      <c r="I82" s="7">
        <f>VLOOKUP(H82,cardsort_group_IDs!A:B,2,0)</f>
        <v>201</v>
      </c>
      <c r="J82" s="7" t="s">
        <v>169</v>
      </c>
      <c r="K82" s="7">
        <f>VLOOKUP(J82,cardsort_subgroup_IDs!A:B,2,0)</f>
        <v>329</v>
      </c>
      <c r="L82" s="7">
        <f t="shared" si="4"/>
        <v>3</v>
      </c>
      <c r="M82" s="7">
        <v>0</v>
      </c>
      <c r="N82" s="7">
        <f t="shared" si="5"/>
        <v>1</v>
      </c>
      <c r="O82" s="7">
        <f t="shared" si="6"/>
        <v>1</v>
      </c>
      <c r="P82" s="7">
        <f t="shared" si="7"/>
        <v>2</v>
      </c>
    </row>
    <row r="83" spans="1:16" x14ac:dyDescent="0.25">
      <c r="A83" s="7">
        <v>99</v>
      </c>
      <c r="B83" s="7" t="s">
        <v>220</v>
      </c>
      <c r="C83" s="8" t="s">
        <v>11</v>
      </c>
      <c r="D83" s="7" t="s">
        <v>11</v>
      </c>
      <c r="E83" s="8">
        <v>508</v>
      </c>
      <c r="F83" s="8" t="s">
        <v>221</v>
      </c>
      <c r="G83" s="7" t="s">
        <v>544</v>
      </c>
      <c r="H83" s="7" t="s">
        <v>12</v>
      </c>
      <c r="I83" s="7">
        <f>VLOOKUP(H83,cardsort_group_IDs!A:B,2,0)</f>
        <v>201</v>
      </c>
      <c r="J83" s="7" t="s">
        <v>124</v>
      </c>
      <c r="K83" s="7">
        <f>VLOOKUP(J83,cardsort_subgroup_IDs!A:B,2,0)</f>
        <v>324</v>
      </c>
      <c r="L83" s="7">
        <f t="shared" si="4"/>
        <v>1</v>
      </c>
      <c r="M83" s="7">
        <v>0</v>
      </c>
      <c r="N83" s="7">
        <f t="shared" si="5"/>
        <v>0</v>
      </c>
      <c r="O83" s="7">
        <f t="shared" si="6"/>
        <v>1</v>
      </c>
      <c r="P83" s="7">
        <f t="shared" si="7"/>
        <v>1</v>
      </c>
    </row>
    <row r="84" spans="1:16" ht="30" x14ac:dyDescent="0.25">
      <c r="A84" s="7">
        <v>100</v>
      </c>
      <c r="B84" s="7" t="s">
        <v>222</v>
      </c>
      <c r="C84" s="8" t="s">
        <v>11</v>
      </c>
      <c r="D84" s="7" t="s">
        <v>11</v>
      </c>
      <c r="E84" s="8">
        <v>509</v>
      </c>
      <c r="F84" s="8" t="s">
        <v>223</v>
      </c>
      <c r="G84" s="7" t="s">
        <v>544</v>
      </c>
      <c r="H84" s="7" t="s">
        <v>12</v>
      </c>
      <c r="I84" s="7">
        <f>VLOOKUP(H84,cardsort_group_IDs!A:B,2,0)</f>
        <v>201</v>
      </c>
      <c r="J84" s="7" t="s">
        <v>124</v>
      </c>
      <c r="K84" s="7">
        <f>VLOOKUP(J84,cardsort_subgroup_IDs!A:B,2,0)</f>
        <v>324</v>
      </c>
      <c r="L84" s="7">
        <f t="shared" si="4"/>
        <v>1</v>
      </c>
      <c r="M84" s="7">
        <v>0</v>
      </c>
      <c r="N84" s="7">
        <f t="shared" si="5"/>
        <v>0</v>
      </c>
      <c r="O84" s="7">
        <f t="shared" si="6"/>
        <v>1</v>
      </c>
      <c r="P84" s="7">
        <f t="shared" si="7"/>
        <v>1</v>
      </c>
    </row>
    <row r="85" spans="1:16" ht="30" x14ac:dyDescent="0.25">
      <c r="A85" s="7">
        <v>102</v>
      </c>
      <c r="B85" s="7" t="s">
        <v>224</v>
      </c>
      <c r="C85" s="8" t="s">
        <v>11</v>
      </c>
      <c r="D85" s="7" t="s">
        <v>450</v>
      </c>
      <c r="E85" s="8">
        <v>501</v>
      </c>
      <c r="F85" s="8" t="s">
        <v>226</v>
      </c>
      <c r="G85" s="7" t="s">
        <v>544</v>
      </c>
      <c r="H85" s="7" t="s">
        <v>17</v>
      </c>
      <c r="I85" s="7">
        <f>VLOOKUP(H85,cardsort_group_IDs!A:B,2,0)</f>
        <v>204</v>
      </c>
      <c r="J85" s="7" t="s">
        <v>97</v>
      </c>
      <c r="K85" s="7">
        <f>VLOOKUP(J85,cardsort_subgroup_IDs!A:B,2,0)</f>
        <v>320</v>
      </c>
      <c r="L85" s="7">
        <f t="shared" si="4"/>
        <v>3</v>
      </c>
      <c r="M85" s="7">
        <v>0</v>
      </c>
      <c r="N85" s="7">
        <f t="shared" si="5"/>
        <v>1</v>
      </c>
      <c r="O85" s="7">
        <f t="shared" si="6"/>
        <v>1</v>
      </c>
      <c r="P85" s="7">
        <f t="shared" si="7"/>
        <v>2</v>
      </c>
    </row>
    <row r="86" spans="1:16" ht="105" x14ac:dyDescent="0.25">
      <c r="A86" s="7">
        <v>104</v>
      </c>
      <c r="B86" s="7" t="s">
        <v>227</v>
      </c>
      <c r="C86" s="8" t="s">
        <v>228</v>
      </c>
      <c r="D86" s="7" t="s">
        <v>453</v>
      </c>
      <c r="E86" s="8" t="s">
        <v>11</v>
      </c>
      <c r="F86" s="8" t="s">
        <v>229</v>
      </c>
      <c r="G86" s="7" t="s">
        <v>545</v>
      </c>
      <c r="H86" s="7" t="s">
        <v>546</v>
      </c>
      <c r="I86" s="7">
        <f>VLOOKUP(H86,cardsort_group_IDs!A:B,2,0)</f>
        <v>203</v>
      </c>
      <c r="J86" s="7" t="s">
        <v>105</v>
      </c>
      <c r="K86" s="7">
        <f>VLOOKUP(J86,cardsort_subgroup_IDs!A:B,2,0)</f>
        <v>322</v>
      </c>
      <c r="L86" s="7">
        <f t="shared" si="4"/>
        <v>2</v>
      </c>
      <c r="M86" s="7">
        <v>0</v>
      </c>
      <c r="N86" s="7">
        <f t="shared" si="5"/>
        <v>2</v>
      </c>
      <c r="O86" s="7">
        <f t="shared" si="6"/>
        <v>0</v>
      </c>
      <c r="P86" s="7">
        <f t="shared" si="7"/>
        <v>2</v>
      </c>
    </row>
    <row r="87" spans="1:16" ht="30" x14ac:dyDescent="0.25">
      <c r="A87" s="7">
        <v>105</v>
      </c>
      <c r="B87" s="8" t="s">
        <v>230</v>
      </c>
      <c r="C87" s="8" t="s">
        <v>305</v>
      </c>
      <c r="D87" s="8" t="s">
        <v>580</v>
      </c>
      <c r="E87" s="8" t="s">
        <v>581</v>
      </c>
      <c r="F87" s="8" t="s">
        <v>231</v>
      </c>
      <c r="G87" s="7" t="s">
        <v>544</v>
      </c>
      <c r="H87" s="7" t="s">
        <v>23</v>
      </c>
      <c r="I87" s="7">
        <f>VLOOKUP(H87,cardsort_group_IDs!A:B,2,0)</f>
        <v>202</v>
      </c>
      <c r="J87" s="7" t="s">
        <v>124</v>
      </c>
      <c r="K87" s="7">
        <f>VLOOKUP(J87,cardsort_subgroup_IDs!A:B,2,0)</f>
        <v>324</v>
      </c>
      <c r="L87" s="7">
        <f t="shared" si="4"/>
        <v>3</v>
      </c>
      <c r="M87" s="7">
        <v>1</v>
      </c>
      <c r="N87" s="7">
        <f t="shared" si="5"/>
        <v>2</v>
      </c>
      <c r="O87" s="7">
        <f t="shared" si="6"/>
        <v>2</v>
      </c>
      <c r="P87" s="7">
        <f t="shared" si="7"/>
        <v>4</v>
      </c>
    </row>
    <row r="88" spans="1:16" ht="180" x14ac:dyDescent="0.25">
      <c r="A88" s="7">
        <v>107</v>
      </c>
      <c r="B88" s="7" t="s">
        <v>232</v>
      </c>
      <c r="C88" s="8" t="s">
        <v>11</v>
      </c>
      <c r="D88" s="7" t="s">
        <v>557</v>
      </c>
      <c r="E88" s="8" t="s">
        <v>558</v>
      </c>
      <c r="F88" s="8" t="s">
        <v>233</v>
      </c>
      <c r="G88" s="7" t="s">
        <v>544</v>
      </c>
      <c r="H88" s="7" t="s">
        <v>17</v>
      </c>
      <c r="I88" s="7">
        <f>VLOOKUP(H88,cardsort_group_IDs!A:B,2,0)</f>
        <v>204</v>
      </c>
      <c r="J88" s="7" t="s">
        <v>30</v>
      </c>
      <c r="K88" s="7">
        <f>VLOOKUP(J88,cardsort_subgroup_IDs!A:B,2,0)</f>
        <v>306</v>
      </c>
      <c r="L88" s="7">
        <f t="shared" si="4"/>
        <v>3</v>
      </c>
      <c r="M88" s="7">
        <v>1</v>
      </c>
      <c r="N88" s="7">
        <f t="shared" si="5"/>
        <v>2</v>
      </c>
      <c r="O88" s="7">
        <f t="shared" si="6"/>
        <v>5</v>
      </c>
      <c r="P88" s="7">
        <f t="shared" si="7"/>
        <v>7</v>
      </c>
    </row>
    <row r="89" spans="1:16" ht="45" x14ac:dyDescent="0.25">
      <c r="A89" s="7">
        <v>108</v>
      </c>
      <c r="B89" s="7" t="s">
        <v>234</v>
      </c>
      <c r="C89" s="8" t="s">
        <v>306</v>
      </c>
      <c r="D89" s="7" t="s">
        <v>591</v>
      </c>
      <c r="E89" s="8" t="s">
        <v>592</v>
      </c>
      <c r="F89" s="8" t="s">
        <v>235</v>
      </c>
      <c r="G89" s="7" t="s">
        <v>544</v>
      </c>
      <c r="H89" s="7" t="s">
        <v>17</v>
      </c>
      <c r="I89" s="7">
        <f>VLOOKUP(H89,cardsort_group_IDs!A:B,2,0)</f>
        <v>204</v>
      </c>
      <c r="J89" s="7" t="s">
        <v>18</v>
      </c>
      <c r="K89" s="7">
        <f>VLOOKUP(J89,cardsort_subgroup_IDs!A:B,2,0)</f>
        <v>327</v>
      </c>
      <c r="L89" s="7">
        <f t="shared" si="4"/>
        <v>3</v>
      </c>
      <c r="M89" s="7">
        <v>0</v>
      </c>
      <c r="N89" s="7">
        <f t="shared" si="5"/>
        <v>4</v>
      </c>
      <c r="O89" s="7">
        <f t="shared" si="6"/>
        <v>4</v>
      </c>
      <c r="P89" s="7">
        <f t="shared" si="7"/>
        <v>8</v>
      </c>
    </row>
    <row r="90" spans="1:16" ht="75" x14ac:dyDescent="0.25">
      <c r="A90" s="7">
        <v>109</v>
      </c>
      <c r="B90" s="7" t="s">
        <v>236</v>
      </c>
      <c r="C90" s="8" t="s">
        <v>605</v>
      </c>
      <c r="D90" s="8" t="s">
        <v>606</v>
      </c>
      <c r="E90" s="8" t="s">
        <v>471</v>
      </c>
      <c r="F90" s="8" t="s">
        <v>237</v>
      </c>
      <c r="G90" s="7" t="s">
        <v>544</v>
      </c>
      <c r="H90" s="7" t="s">
        <v>23</v>
      </c>
      <c r="I90" s="7">
        <f>VLOOKUP(H90,cardsort_group_IDs!A:B,2,0)</f>
        <v>202</v>
      </c>
      <c r="J90" s="7" t="s">
        <v>172</v>
      </c>
      <c r="K90" s="7">
        <f>VLOOKUP(J90,cardsort_subgroup_IDs!A:B,2,0)</f>
        <v>304</v>
      </c>
      <c r="L90" s="7">
        <f t="shared" si="4"/>
        <v>3</v>
      </c>
      <c r="M90" s="7">
        <v>0</v>
      </c>
      <c r="N90" s="7">
        <f t="shared" si="5"/>
        <v>5</v>
      </c>
      <c r="O90" s="7">
        <f t="shared" si="6"/>
        <v>3</v>
      </c>
      <c r="P90" s="7">
        <f t="shared" si="7"/>
        <v>8</v>
      </c>
    </row>
    <row r="91" spans="1:16" ht="105" x14ac:dyDescent="0.25">
      <c r="A91" s="7">
        <v>112</v>
      </c>
      <c r="B91" s="7" t="s">
        <v>238</v>
      </c>
      <c r="C91" s="8" t="s">
        <v>11</v>
      </c>
      <c r="D91" s="7" t="s">
        <v>11</v>
      </c>
      <c r="E91" s="8">
        <v>506</v>
      </c>
      <c r="F91" s="10" t="s">
        <v>239</v>
      </c>
      <c r="G91" s="7" t="s">
        <v>545</v>
      </c>
      <c r="H91" s="7" t="s">
        <v>546</v>
      </c>
      <c r="I91" s="7">
        <f>VLOOKUP(H91,cardsort_group_IDs!A:B,2,0)</f>
        <v>203</v>
      </c>
      <c r="J91" s="7" t="s">
        <v>146</v>
      </c>
      <c r="K91" s="7">
        <f>VLOOKUP(J91,cardsort_subgroup_IDs!A:B,2,0)</f>
        <v>328</v>
      </c>
      <c r="L91" s="7">
        <f t="shared" si="4"/>
        <v>1</v>
      </c>
      <c r="M91" s="7">
        <v>0</v>
      </c>
      <c r="N91" s="7">
        <f t="shared" si="5"/>
        <v>0</v>
      </c>
      <c r="O91" s="7">
        <f t="shared" si="6"/>
        <v>1</v>
      </c>
      <c r="P91" s="7">
        <f t="shared" si="7"/>
        <v>1</v>
      </c>
    </row>
    <row r="92" spans="1:16" ht="135" x14ac:dyDescent="0.25">
      <c r="A92" s="7">
        <v>114</v>
      </c>
      <c r="B92" s="7" t="s">
        <v>241</v>
      </c>
      <c r="C92" s="8" t="s">
        <v>322</v>
      </c>
      <c r="D92" t="s">
        <v>590</v>
      </c>
      <c r="E92" s="8" t="s">
        <v>593</v>
      </c>
      <c r="F92" s="8" t="s">
        <v>242</v>
      </c>
      <c r="G92" s="7" t="s">
        <v>544</v>
      </c>
      <c r="H92" s="7" t="s">
        <v>60</v>
      </c>
      <c r="I92" s="7">
        <f>VLOOKUP(H92,cardsort_group_IDs!A:B,2,0)</f>
        <v>207</v>
      </c>
      <c r="J92" s="7" t="s">
        <v>61</v>
      </c>
      <c r="K92" s="7">
        <f>VLOOKUP(J92,cardsort_subgroup_IDs!A:B,2,0)</f>
        <v>312</v>
      </c>
      <c r="L92" s="7">
        <f t="shared" si="4"/>
        <v>3</v>
      </c>
      <c r="M92" s="7">
        <v>0</v>
      </c>
      <c r="N92" s="7">
        <f t="shared" si="5"/>
        <v>1</v>
      </c>
      <c r="O92" s="7">
        <f t="shared" si="6"/>
        <v>12</v>
      </c>
      <c r="P92" s="7">
        <f t="shared" si="7"/>
        <v>13</v>
      </c>
    </row>
    <row r="93" spans="1:16" ht="30" x14ac:dyDescent="0.25">
      <c r="A93" s="7">
        <v>115</v>
      </c>
      <c r="B93" s="7" t="s">
        <v>243</v>
      </c>
      <c r="C93" s="8" t="s">
        <v>11</v>
      </c>
      <c r="D93" s="7" t="s">
        <v>11</v>
      </c>
      <c r="E93" s="8">
        <v>183</v>
      </c>
      <c r="F93" s="8" t="s">
        <v>244</v>
      </c>
      <c r="G93" s="7" t="s">
        <v>544</v>
      </c>
      <c r="H93" s="7" t="s">
        <v>54</v>
      </c>
      <c r="I93" s="7">
        <f>VLOOKUP(H93,cardsort_group_IDs!A:B,2,0)</f>
        <v>206</v>
      </c>
      <c r="J93" s="7" t="s">
        <v>130</v>
      </c>
      <c r="K93" s="7">
        <f>VLOOKUP(J93,cardsort_subgroup_IDs!A:B,2,0)</f>
        <v>326</v>
      </c>
      <c r="L93" s="7">
        <f t="shared" si="4"/>
        <v>1</v>
      </c>
      <c r="M93" s="7">
        <v>0</v>
      </c>
      <c r="N93" s="7">
        <f t="shared" si="5"/>
        <v>0</v>
      </c>
      <c r="O93" s="7">
        <f t="shared" si="6"/>
        <v>1</v>
      </c>
      <c r="P93" s="7">
        <f t="shared" si="7"/>
        <v>1</v>
      </c>
    </row>
    <row r="94" spans="1:16" ht="75" x14ac:dyDescent="0.25">
      <c r="A94" s="7">
        <v>116</v>
      </c>
      <c r="B94" s="7" t="s">
        <v>245</v>
      </c>
      <c r="C94" s="8" t="s">
        <v>307</v>
      </c>
      <c r="D94" s="7" t="s">
        <v>473</v>
      </c>
      <c r="E94" s="8" t="s">
        <v>472</v>
      </c>
      <c r="F94" s="8" t="s">
        <v>246</v>
      </c>
      <c r="G94" s="7" t="s">
        <v>545</v>
      </c>
      <c r="H94" s="7" t="s">
        <v>38</v>
      </c>
      <c r="I94" s="7">
        <f>VLOOKUP(H94,cardsort_group_IDs!A:B,2,0)</f>
        <v>205</v>
      </c>
      <c r="J94" s="7" t="s">
        <v>247</v>
      </c>
      <c r="K94" s="7">
        <f>VLOOKUP(J94,cardsort_subgroup_IDs!A:B,2,0)</f>
        <v>331</v>
      </c>
      <c r="L94" s="7">
        <f t="shared" si="4"/>
        <v>3</v>
      </c>
      <c r="M94" s="7">
        <v>0</v>
      </c>
      <c r="N94" s="7">
        <f t="shared" si="5"/>
        <v>2</v>
      </c>
      <c r="O94" s="7">
        <f t="shared" si="6"/>
        <v>2</v>
      </c>
      <c r="P94" s="7">
        <f t="shared" si="7"/>
        <v>4</v>
      </c>
    </row>
    <row r="95" spans="1:16" ht="45" x14ac:dyDescent="0.25">
      <c r="A95" s="7">
        <v>117</v>
      </c>
      <c r="B95" s="7" t="s">
        <v>43</v>
      </c>
      <c r="C95" s="8" t="s">
        <v>11</v>
      </c>
      <c r="D95" s="7" t="s">
        <v>476</v>
      </c>
      <c r="E95" s="8" t="s">
        <v>474</v>
      </c>
      <c r="F95" s="8" t="s">
        <v>248</v>
      </c>
      <c r="G95" s="7" t="s">
        <v>544</v>
      </c>
      <c r="H95" s="7" t="s">
        <v>38</v>
      </c>
      <c r="I95" s="7">
        <f>VLOOKUP(H95,cardsort_group_IDs!A:B,2,0)</f>
        <v>205</v>
      </c>
      <c r="J95" s="7" t="s">
        <v>43</v>
      </c>
      <c r="K95" s="7">
        <f>VLOOKUP(J95,cardsort_subgroup_IDs!A:B,2,0)</f>
        <v>309</v>
      </c>
      <c r="L95" s="7">
        <f t="shared" si="4"/>
        <v>3</v>
      </c>
      <c r="M95" s="7">
        <v>1</v>
      </c>
      <c r="N95" s="7">
        <f t="shared" si="5"/>
        <v>1</v>
      </c>
      <c r="O95" s="7">
        <f t="shared" si="6"/>
        <v>4</v>
      </c>
      <c r="P95" s="7">
        <f t="shared" si="7"/>
        <v>5</v>
      </c>
    </row>
    <row r="96" spans="1:16" ht="30" x14ac:dyDescent="0.25">
      <c r="A96" s="7">
        <v>118</v>
      </c>
      <c r="B96" s="7" t="s">
        <v>249</v>
      </c>
      <c r="C96" s="8" t="s">
        <v>11</v>
      </c>
      <c r="D96" s="8">
        <v>201</v>
      </c>
      <c r="E96" s="8" t="s">
        <v>11</v>
      </c>
      <c r="F96" s="8" t="s">
        <v>250</v>
      </c>
      <c r="G96" s="7" t="s">
        <v>544</v>
      </c>
      <c r="H96" s="7" t="s">
        <v>23</v>
      </c>
      <c r="I96" s="7">
        <f>VLOOKUP(H96,cardsort_group_IDs!A:B,2,0)</f>
        <v>202</v>
      </c>
      <c r="J96" s="7" t="s">
        <v>251</v>
      </c>
      <c r="K96" s="7">
        <f>VLOOKUP(J96,cardsort_subgroup_IDs!A:B,2,0)</f>
        <v>332</v>
      </c>
      <c r="L96" s="7">
        <f t="shared" si="4"/>
        <v>2</v>
      </c>
      <c r="M96" s="7">
        <v>0</v>
      </c>
      <c r="N96" s="7">
        <f t="shared" si="5"/>
        <v>1</v>
      </c>
      <c r="O96" s="7">
        <f t="shared" si="6"/>
        <v>0</v>
      </c>
      <c r="P96" s="7">
        <f t="shared" si="7"/>
        <v>1</v>
      </c>
    </row>
    <row r="97" spans="1:16" ht="30" x14ac:dyDescent="0.25">
      <c r="A97" s="7">
        <v>119</v>
      </c>
      <c r="B97" s="7" t="s">
        <v>252</v>
      </c>
      <c r="C97" s="8" t="s">
        <v>11</v>
      </c>
      <c r="D97" s="7" t="s">
        <v>450</v>
      </c>
      <c r="E97" s="8">
        <v>501</v>
      </c>
      <c r="F97" s="8" t="s">
        <v>253</v>
      </c>
      <c r="G97" s="7" t="s">
        <v>544</v>
      </c>
      <c r="H97" s="7" t="s">
        <v>17</v>
      </c>
      <c r="I97" s="7">
        <f>VLOOKUP(H97,cardsort_group_IDs!A:B,2,0)</f>
        <v>204</v>
      </c>
      <c r="J97" s="7" t="s">
        <v>30</v>
      </c>
      <c r="K97" s="7">
        <f>VLOOKUP(J97,cardsort_subgroup_IDs!A:B,2,0)</f>
        <v>306</v>
      </c>
      <c r="L97" s="7">
        <f t="shared" si="4"/>
        <v>3</v>
      </c>
      <c r="M97" s="7">
        <v>0</v>
      </c>
      <c r="N97" s="7">
        <f t="shared" si="5"/>
        <v>1</v>
      </c>
      <c r="O97" s="7">
        <f t="shared" si="6"/>
        <v>1</v>
      </c>
      <c r="P97" s="7">
        <f t="shared" si="7"/>
        <v>2</v>
      </c>
    </row>
    <row r="98" spans="1:16" x14ac:dyDescent="0.25">
      <c r="A98" s="7">
        <v>120</v>
      </c>
      <c r="B98" s="7" t="s">
        <v>254</v>
      </c>
      <c r="C98" s="8" t="s">
        <v>11</v>
      </c>
      <c r="D98" s="7" t="s">
        <v>455</v>
      </c>
      <c r="E98" s="8" t="s">
        <v>457</v>
      </c>
      <c r="F98" s="10" t="s">
        <v>255</v>
      </c>
      <c r="G98" s="7" t="s">
        <v>544</v>
      </c>
      <c r="H98" s="7" t="s">
        <v>17</v>
      </c>
      <c r="I98" s="7">
        <f>VLOOKUP(H98,cardsort_group_IDs!A:B,2,0)</f>
        <v>204</v>
      </c>
      <c r="J98" s="7" t="s">
        <v>30</v>
      </c>
      <c r="K98" s="7">
        <f>VLOOKUP(J98,cardsort_subgroup_IDs!A:B,2,0)</f>
        <v>306</v>
      </c>
      <c r="L98" s="7">
        <f t="shared" si="4"/>
        <v>3</v>
      </c>
      <c r="M98" s="7">
        <v>1</v>
      </c>
      <c r="N98" s="7">
        <f t="shared" si="5"/>
        <v>1</v>
      </c>
      <c r="O98" s="7">
        <f t="shared" si="6"/>
        <v>2</v>
      </c>
      <c r="P98" s="7">
        <f t="shared" si="7"/>
        <v>3</v>
      </c>
    </row>
    <row r="99" spans="1:16" ht="60" x14ac:dyDescent="0.25">
      <c r="A99" s="7">
        <v>121</v>
      </c>
      <c r="B99" s="7" t="s">
        <v>256</v>
      </c>
      <c r="C99" s="8" t="s">
        <v>323</v>
      </c>
      <c r="D99" s="7" t="s">
        <v>553</v>
      </c>
      <c r="E99" s="8" t="s">
        <v>461</v>
      </c>
      <c r="F99" s="8" t="s">
        <v>257</v>
      </c>
      <c r="G99" s="7" t="s">
        <v>544</v>
      </c>
      <c r="H99" s="7" t="s">
        <v>17</v>
      </c>
      <c r="I99" s="7">
        <f>VLOOKUP(H99,cardsort_group_IDs!A:B,2,0)</f>
        <v>204</v>
      </c>
      <c r="J99" s="7" t="s">
        <v>30</v>
      </c>
      <c r="K99" s="7">
        <f>VLOOKUP(J99,cardsort_subgroup_IDs!A:B,2,0)</f>
        <v>306</v>
      </c>
      <c r="L99" s="7">
        <f t="shared" si="4"/>
        <v>3</v>
      </c>
      <c r="M99" s="7">
        <v>0</v>
      </c>
      <c r="N99" s="7">
        <f t="shared" si="5"/>
        <v>3</v>
      </c>
      <c r="O99" s="7">
        <f t="shared" si="6"/>
        <v>4</v>
      </c>
      <c r="P99" s="7">
        <f t="shared" si="7"/>
        <v>7</v>
      </c>
    </row>
    <row r="100" spans="1:16" ht="45" x14ac:dyDescent="0.25">
      <c r="A100" s="7">
        <v>122</v>
      </c>
      <c r="B100" s="7" t="s">
        <v>258</v>
      </c>
      <c r="C100" s="8" t="s">
        <v>324</v>
      </c>
      <c r="D100" t="s">
        <v>590</v>
      </c>
      <c r="E100" s="8" t="s">
        <v>594</v>
      </c>
      <c r="F100" s="8" t="s">
        <v>259</v>
      </c>
      <c r="G100" s="7" t="s">
        <v>544</v>
      </c>
      <c r="H100" s="7" t="s">
        <v>17</v>
      </c>
      <c r="I100" s="7">
        <f>VLOOKUP(H100,cardsort_group_IDs!A:B,2,0)</f>
        <v>204</v>
      </c>
      <c r="J100" s="7" t="s">
        <v>30</v>
      </c>
      <c r="K100" s="7">
        <f>VLOOKUP(J100,cardsort_subgroup_IDs!A:B,2,0)</f>
        <v>306</v>
      </c>
      <c r="L100" s="7">
        <f t="shared" si="4"/>
        <v>3</v>
      </c>
      <c r="M100" s="7">
        <v>0</v>
      </c>
      <c r="N100" s="7">
        <f t="shared" si="5"/>
        <v>1</v>
      </c>
      <c r="O100" s="7">
        <f t="shared" si="6"/>
        <v>3</v>
      </c>
      <c r="P100" s="7">
        <f t="shared" si="7"/>
        <v>4</v>
      </c>
    </row>
    <row r="101" spans="1:16" ht="75" x14ac:dyDescent="0.25">
      <c r="A101" s="7">
        <v>124</v>
      </c>
      <c r="B101" s="7" t="s">
        <v>260</v>
      </c>
      <c r="C101" s="8" t="s">
        <v>261</v>
      </c>
      <c r="D101" s="7" t="s">
        <v>561</v>
      </c>
      <c r="E101" s="8" t="s">
        <v>562</v>
      </c>
      <c r="F101" s="8" t="s">
        <v>262</v>
      </c>
      <c r="G101" s="7" t="s">
        <v>544</v>
      </c>
      <c r="H101" s="7" t="s">
        <v>546</v>
      </c>
      <c r="I101" s="7">
        <f>VLOOKUP(H101,cardsort_group_IDs!A:B,2,0)</f>
        <v>203</v>
      </c>
      <c r="J101" s="7" t="s">
        <v>120</v>
      </c>
      <c r="K101" s="7">
        <f>VLOOKUP(J101,cardsort_subgroup_IDs!A:B,2,0)</f>
        <v>323</v>
      </c>
      <c r="L101" s="7">
        <f t="shared" si="4"/>
        <v>3</v>
      </c>
      <c r="M101" s="7">
        <v>0</v>
      </c>
      <c r="N101" s="7">
        <f t="shared" si="5"/>
        <v>3</v>
      </c>
      <c r="O101" s="7">
        <f t="shared" si="6"/>
        <v>4</v>
      </c>
      <c r="P101" s="7">
        <f t="shared" si="7"/>
        <v>7</v>
      </c>
    </row>
    <row r="102" spans="1:16" ht="45" x14ac:dyDescent="0.25">
      <c r="A102" s="7">
        <v>126</v>
      </c>
      <c r="B102" s="8" t="s">
        <v>263</v>
      </c>
      <c r="C102" s="8" t="s">
        <v>11</v>
      </c>
      <c r="D102" s="7" t="s">
        <v>452</v>
      </c>
      <c r="E102" s="8">
        <v>501</v>
      </c>
      <c r="F102" s="8" t="s">
        <v>265</v>
      </c>
      <c r="G102" s="7" t="s">
        <v>544</v>
      </c>
      <c r="H102" s="7" t="s">
        <v>60</v>
      </c>
      <c r="I102" s="7">
        <f>VLOOKUP(H102,cardsort_group_IDs!A:B,2,0)</f>
        <v>207</v>
      </c>
      <c r="J102" s="7" t="s">
        <v>61</v>
      </c>
      <c r="K102" s="7">
        <f>VLOOKUP(J102,cardsort_subgroup_IDs!A:B,2,0)</f>
        <v>312</v>
      </c>
      <c r="L102" s="7">
        <f t="shared" si="4"/>
        <v>3</v>
      </c>
      <c r="M102" s="7">
        <v>0</v>
      </c>
      <c r="N102" s="7">
        <f t="shared" si="5"/>
        <v>1</v>
      </c>
      <c r="O102" s="7">
        <f t="shared" si="6"/>
        <v>1</v>
      </c>
      <c r="P102" s="7">
        <f t="shared" si="7"/>
        <v>2</v>
      </c>
    </row>
    <row r="103" spans="1:16" ht="30" x14ac:dyDescent="0.25">
      <c r="A103" s="7">
        <v>127</v>
      </c>
      <c r="B103" s="8" t="s">
        <v>266</v>
      </c>
      <c r="C103" s="8" t="s">
        <v>308</v>
      </c>
      <c r="D103" s="7" t="s">
        <v>456</v>
      </c>
      <c r="E103" s="8" t="s">
        <v>309</v>
      </c>
      <c r="F103" s="10" t="s">
        <v>268</v>
      </c>
      <c r="G103" s="7" t="s">
        <v>544</v>
      </c>
      <c r="H103" s="7" t="s">
        <v>60</v>
      </c>
      <c r="I103" s="7">
        <f>VLOOKUP(H103,cardsort_group_IDs!A:B,2,0)</f>
        <v>207</v>
      </c>
      <c r="J103" s="7" t="s">
        <v>61</v>
      </c>
      <c r="K103" s="7">
        <f>VLOOKUP(J103,cardsort_subgroup_IDs!A:B,2,0)</f>
        <v>312</v>
      </c>
      <c r="L103" s="7">
        <f t="shared" si="4"/>
        <v>3</v>
      </c>
      <c r="M103" s="7">
        <v>0</v>
      </c>
      <c r="N103" s="7">
        <f t="shared" si="5"/>
        <v>1</v>
      </c>
      <c r="O103" s="7">
        <f t="shared" si="6"/>
        <v>2</v>
      </c>
      <c r="P103" s="7">
        <f t="shared" si="7"/>
        <v>3</v>
      </c>
    </row>
    <row r="104" spans="1:16" ht="30" x14ac:dyDescent="0.25">
      <c r="A104" s="7">
        <v>128</v>
      </c>
      <c r="B104" s="8" t="s">
        <v>269</v>
      </c>
      <c r="C104" s="8" t="s">
        <v>11</v>
      </c>
      <c r="D104" s="7" t="s">
        <v>456</v>
      </c>
      <c r="E104" s="8">
        <v>501</v>
      </c>
      <c r="F104" s="10" t="s">
        <v>270</v>
      </c>
      <c r="G104" s="7" t="s">
        <v>544</v>
      </c>
      <c r="H104" s="7" t="s">
        <v>60</v>
      </c>
      <c r="I104" s="7">
        <f>VLOOKUP(H104,cardsort_group_IDs!A:B,2,0)</f>
        <v>207</v>
      </c>
      <c r="J104" s="7" t="s">
        <v>61</v>
      </c>
      <c r="K104" s="7">
        <f>VLOOKUP(J104,cardsort_subgroup_IDs!A:B,2,0)</f>
        <v>312</v>
      </c>
      <c r="L104" s="7">
        <f t="shared" si="4"/>
        <v>3</v>
      </c>
      <c r="M104" s="7">
        <v>0</v>
      </c>
      <c r="N104" s="7">
        <f t="shared" si="5"/>
        <v>1</v>
      </c>
      <c r="O104" s="7">
        <f t="shared" si="6"/>
        <v>1</v>
      </c>
      <c r="P104" s="7">
        <f t="shared" si="7"/>
        <v>2</v>
      </c>
    </row>
    <row r="105" spans="1:16" ht="60" x14ac:dyDescent="0.25">
      <c r="A105" s="7">
        <v>129</v>
      </c>
      <c r="B105" s="8" t="s">
        <v>271</v>
      </c>
      <c r="C105" s="8" t="s">
        <v>310</v>
      </c>
      <c r="D105" s="7" t="s">
        <v>582</v>
      </c>
      <c r="E105" s="8" t="s">
        <v>583</v>
      </c>
      <c r="F105" s="8" t="s">
        <v>272</v>
      </c>
      <c r="G105" s="7" t="s">
        <v>544</v>
      </c>
      <c r="H105" s="7" t="s">
        <v>60</v>
      </c>
      <c r="I105" s="7">
        <f>VLOOKUP(H105,cardsort_group_IDs!A:B,2,0)</f>
        <v>207</v>
      </c>
      <c r="J105" s="7" t="s">
        <v>61</v>
      </c>
      <c r="K105" s="7">
        <f>VLOOKUP(J105,cardsort_subgroup_IDs!A:B,2,0)</f>
        <v>312</v>
      </c>
      <c r="L105" s="7">
        <f t="shared" si="4"/>
        <v>3</v>
      </c>
      <c r="M105" s="7">
        <v>0</v>
      </c>
      <c r="N105" s="7">
        <f t="shared" si="5"/>
        <v>3</v>
      </c>
      <c r="O105" s="7">
        <f t="shared" si="6"/>
        <v>10</v>
      </c>
      <c r="P105" s="7">
        <f t="shared" si="7"/>
        <v>13</v>
      </c>
    </row>
    <row r="106" spans="1:16" ht="135" x14ac:dyDescent="0.25">
      <c r="A106" s="7">
        <v>130</v>
      </c>
      <c r="B106" s="7" t="s">
        <v>273</v>
      </c>
      <c r="C106" s="8" t="s">
        <v>11</v>
      </c>
      <c r="D106" s="7" t="s">
        <v>563</v>
      </c>
      <c r="E106" s="8" t="s">
        <v>564</v>
      </c>
      <c r="F106" s="8" t="s">
        <v>274</v>
      </c>
      <c r="G106" s="7" t="s">
        <v>544</v>
      </c>
      <c r="H106" s="7" t="s">
        <v>546</v>
      </c>
      <c r="I106" s="7">
        <f>VLOOKUP(H106,cardsort_group_IDs!A:B,2,0)</f>
        <v>203</v>
      </c>
      <c r="J106" s="8" t="s">
        <v>64</v>
      </c>
      <c r="K106" s="7">
        <f>VLOOKUP(J106,cardsort_subgroup_IDs!A:B,2,0)</f>
        <v>313</v>
      </c>
      <c r="L106" s="7">
        <f t="shared" si="4"/>
        <v>3</v>
      </c>
      <c r="M106" s="7">
        <v>0</v>
      </c>
      <c r="N106" s="7">
        <f t="shared" si="5"/>
        <v>2</v>
      </c>
      <c r="O106" s="7">
        <f t="shared" si="6"/>
        <v>3</v>
      </c>
      <c r="P106" s="7">
        <f t="shared" si="7"/>
        <v>5</v>
      </c>
    </row>
    <row r="107" spans="1:16" ht="90" x14ac:dyDescent="0.25">
      <c r="A107" s="7">
        <v>134</v>
      </c>
      <c r="B107" s="8" t="s">
        <v>311</v>
      </c>
      <c r="C107" s="8" t="s">
        <v>312</v>
      </c>
      <c r="D107" t="s">
        <v>590</v>
      </c>
      <c r="E107" s="15" t="s">
        <v>595</v>
      </c>
      <c r="F107" s="8" t="s">
        <v>537</v>
      </c>
      <c r="G107" t="s">
        <v>544</v>
      </c>
      <c r="H107" t="s">
        <v>38</v>
      </c>
      <c r="I107" s="7">
        <f>VLOOKUP(H107,cardsort_group_IDs!A:B,2,0)</f>
        <v>205</v>
      </c>
      <c r="J107" t="s">
        <v>91</v>
      </c>
      <c r="K107" s="7">
        <f>VLOOKUP(J107,cardsort_subgroup_IDs!A:B,2,0)</f>
        <v>319</v>
      </c>
      <c r="L107" s="7">
        <f t="shared" si="4"/>
        <v>3</v>
      </c>
      <c r="M107" s="7">
        <v>1</v>
      </c>
      <c r="N107" s="7">
        <f t="shared" si="5"/>
        <v>1</v>
      </c>
      <c r="O107" s="7">
        <f t="shared" si="6"/>
        <v>9</v>
      </c>
      <c r="P107" s="7">
        <f t="shared" si="7"/>
        <v>10</v>
      </c>
    </row>
    <row r="108" spans="1:16" ht="30" x14ac:dyDescent="0.25">
      <c r="A108" s="7">
        <v>135</v>
      </c>
      <c r="B108" s="8" t="s">
        <v>313</v>
      </c>
      <c r="C108" s="8" t="s">
        <v>11</v>
      </c>
      <c r="D108" s="7" t="s">
        <v>11</v>
      </c>
      <c r="E108" s="15">
        <v>183</v>
      </c>
      <c r="F108" s="8" t="s">
        <v>539</v>
      </c>
      <c r="G108" t="s">
        <v>545</v>
      </c>
      <c r="H108" t="s">
        <v>546</v>
      </c>
      <c r="I108" s="7">
        <f>VLOOKUP(H108,cardsort_group_IDs!A:B,2,0)</f>
        <v>203</v>
      </c>
      <c r="J108" t="s">
        <v>146</v>
      </c>
      <c r="K108" s="7">
        <f>VLOOKUP(J108,cardsort_subgroup_IDs!A:B,2,0)</f>
        <v>328</v>
      </c>
      <c r="L108" s="7">
        <f t="shared" si="4"/>
        <v>1</v>
      </c>
      <c r="M108" s="7">
        <v>0</v>
      </c>
      <c r="N108" s="7">
        <f t="shared" si="5"/>
        <v>0</v>
      </c>
      <c r="O108" s="7">
        <f t="shared" si="6"/>
        <v>1</v>
      </c>
      <c r="P108" s="7">
        <f t="shared" si="7"/>
        <v>1</v>
      </c>
    </row>
    <row r="109" spans="1:16" ht="45" x14ac:dyDescent="0.25">
      <c r="A109" s="7">
        <v>136</v>
      </c>
      <c r="B109" s="8" t="s">
        <v>538</v>
      </c>
      <c r="C109" s="8" t="s">
        <v>11</v>
      </c>
      <c r="D109" s="7" t="s">
        <v>11</v>
      </c>
      <c r="E109" s="15">
        <v>240</v>
      </c>
      <c r="F109" s="8" t="s">
        <v>540</v>
      </c>
      <c r="G109" t="s">
        <v>544</v>
      </c>
      <c r="H109" t="s">
        <v>60</v>
      </c>
      <c r="I109" s="7">
        <f>VLOOKUP(H109,cardsort_group_IDs!A:B,2,0)</f>
        <v>207</v>
      </c>
      <c r="J109" t="s">
        <v>61</v>
      </c>
      <c r="K109" s="7">
        <f>VLOOKUP(J109,cardsort_subgroup_IDs!A:B,2,0)</f>
        <v>312</v>
      </c>
      <c r="L109" s="7">
        <f t="shared" si="4"/>
        <v>1</v>
      </c>
      <c r="M109" s="7">
        <v>0</v>
      </c>
      <c r="N109" s="7">
        <f t="shared" si="5"/>
        <v>0</v>
      </c>
      <c r="O109" s="7">
        <f t="shared" si="6"/>
        <v>1</v>
      </c>
      <c r="P109" s="7">
        <f t="shared" si="7"/>
        <v>1</v>
      </c>
    </row>
    <row r="110" spans="1:16" ht="45" x14ac:dyDescent="0.25">
      <c r="A110" s="7">
        <v>137</v>
      </c>
      <c r="B110" s="8" t="s">
        <v>314</v>
      </c>
      <c r="C110" s="8" t="s">
        <v>315</v>
      </c>
      <c r="D110" s="7" t="s">
        <v>11</v>
      </c>
      <c r="E110" s="15" t="s">
        <v>316</v>
      </c>
      <c r="F110" s="8" t="s">
        <v>541</v>
      </c>
      <c r="G110" t="s">
        <v>545</v>
      </c>
      <c r="H110" t="s">
        <v>546</v>
      </c>
      <c r="I110" s="7">
        <f>VLOOKUP(H110,cardsort_group_IDs!A:B,2,0)</f>
        <v>203</v>
      </c>
      <c r="J110" t="s">
        <v>64</v>
      </c>
      <c r="K110" s="7">
        <f>VLOOKUP(J110,cardsort_subgroup_IDs!A:B,2,0)</f>
        <v>313</v>
      </c>
      <c r="L110" s="7">
        <f t="shared" si="4"/>
        <v>1</v>
      </c>
      <c r="M110" s="7">
        <v>0</v>
      </c>
      <c r="N110" s="7">
        <f t="shared" si="5"/>
        <v>0</v>
      </c>
      <c r="O110" s="7">
        <f t="shared" si="6"/>
        <v>6</v>
      </c>
      <c r="P110" s="7">
        <f t="shared" si="7"/>
        <v>6</v>
      </c>
    </row>
    <row r="111" spans="1:16" x14ac:dyDescent="0.25">
      <c r="A111" s="7">
        <v>138</v>
      </c>
      <c r="B111" s="8" t="s">
        <v>317</v>
      </c>
      <c r="C111" s="8" t="s">
        <v>318</v>
      </c>
      <c r="D111" s="7" t="s">
        <v>11</v>
      </c>
      <c r="E111" s="15">
        <v>236</v>
      </c>
      <c r="F111" s="15" t="s">
        <v>536</v>
      </c>
      <c r="G111" t="s">
        <v>544</v>
      </c>
      <c r="H111" t="s">
        <v>12</v>
      </c>
      <c r="I111" s="7">
        <f>VLOOKUP(H111,cardsort_group_IDs!A:B,2,0)</f>
        <v>201</v>
      </c>
      <c r="J111" t="s">
        <v>19</v>
      </c>
      <c r="K111" s="7">
        <f>VLOOKUP(J111,cardsort_subgroup_IDs!A:B,2,0)</f>
        <v>302</v>
      </c>
      <c r="L111" s="7">
        <f t="shared" si="4"/>
        <v>1</v>
      </c>
      <c r="M111" s="7">
        <v>0</v>
      </c>
      <c r="N111" s="7">
        <f t="shared" si="5"/>
        <v>0</v>
      </c>
      <c r="O111" s="7">
        <f t="shared" si="6"/>
        <v>1</v>
      </c>
      <c r="P111" s="7">
        <f t="shared" si="7"/>
        <v>1</v>
      </c>
    </row>
    <row r="112" spans="1:16" ht="60" x14ac:dyDescent="0.25">
      <c r="A112" s="7">
        <v>139</v>
      </c>
      <c r="B112" s="7" t="s">
        <v>609</v>
      </c>
      <c r="C112" s="8" t="s">
        <v>11</v>
      </c>
      <c r="D112" s="7">
        <v>510</v>
      </c>
      <c r="E112" s="8" t="s">
        <v>11</v>
      </c>
      <c r="F112" s="8" t="s">
        <v>610</v>
      </c>
      <c r="G112" s="7" t="s">
        <v>544</v>
      </c>
      <c r="H112" s="7" t="s">
        <v>23</v>
      </c>
      <c r="I112" s="7">
        <f>VLOOKUP(H112,cardsort_group_IDs!A:B,2,0)</f>
        <v>202</v>
      </c>
      <c r="J112" s="7" t="s">
        <v>172</v>
      </c>
      <c r="K112" s="7">
        <f>VLOOKUP(J112,cardsort_subgroup_IDs!A:B,2,0)</f>
        <v>304</v>
      </c>
      <c r="L112" s="7">
        <f t="shared" ref="L112" si="8">IF(E112="-",0,1)+IF(D112="-",0,2)</f>
        <v>2</v>
      </c>
      <c r="M112" s="7">
        <v>0</v>
      </c>
      <c r="N112" s="7">
        <f t="shared" si="5"/>
        <v>1</v>
      </c>
      <c r="O112" s="7">
        <f t="shared" ref="O112" si="9">IF(E112="-",0,LEN(E112)-LEN(SUBSTITUTE(E112,";",""))+1)</f>
        <v>0</v>
      </c>
      <c r="P112" s="7">
        <f t="shared" ref="P112" si="10">SUM(N112:O112)</f>
        <v>1</v>
      </c>
    </row>
  </sheetData>
  <autoFilter ref="A1:N112" xr:uid="{00000000-0001-0000-0000-000000000000}"/>
  <conditionalFormatting sqref="B1:B111">
    <cfRule type="duplicateValues" dxfId="38" priority="38"/>
  </conditionalFormatting>
  <conditionalFormatting sqref="B5">
    <cfRule type="duplicateValues" dxfId="37" priority="23"/>
  </conditionalFormatting>
  <conditionalFormatting sqref="B16">
    <cfRule type="duplicateValues" dxfId="36" priority="24"/>
  </conditionalFormatting>
  <conditionalFormatting sqref="B17">
    <cfRule type="duplicateValues" dxfId="35" priority="25"/>
  </conditionalFormatting>
  <conditionalFormatting sqref="B32">
    <cfRule type="duplicateValues" dxfId="34" priority="34"/>
  </conditionalFormatting>
  <conditionalFormatting sqref="B33">
    <cfRule type="duplicateValues" dxfId="33" priority="33"/>
  </conditionalFormatting>
  <conditionalFormatting sqref="B34">
    <cfRule type="duplicateValues" dxfId="32" priority="32"/>
  </conditionalFormatting>
  <conditionalFormatting sqref="B35">
    <cfRule type="duplicateValues" dxfId="31" priority="31"/>
  </conditionalFormatting>
  <conditionalFormatting sqref="B38:B41">
    <cfRule type="duplicateValues" dxfId="30" priority="40"/>
  </conditionalFormatting>
  <conditionalFormatting sqref="B44">
    <cfRule type="duplicateValues" dxfId="29" priority="30"/>
  </conditionalFormatting>
  <conditionalFormatting sqref="B46">
    <cfRule type="duplicateValues" dxfId="28" priority="29"/>
  </conditionalFormatting>
  <conditionalFormatting sqref="B47">
    <cfRule type="duplicateValues" dxfId="27" priority="28"/>
  </conditionalFormatting>
  <conditionalFormatting sqref="B48">
    <cfRule type="duplicateValues" dxfId="26" priority="27"/>
  </conditionalFormatting>
  <conditionalFormatting sqref="B74">
    <cfRule type="duplicateValues" dxfId="25" priority="9"/>
  </conditionalFormatting>
  <conditionalFormatting sqref="B96">
    <cfRule type="duplicateValues" dxfId="24" priority="4"/>
  </conditionalFormatting>
  <conditionalFormatting sqref="B97">
    <cfRule type="duplicateValues" dxfId="23" priority="3"/>
  </conditionalFormatting>
  <conditionalFormatting sqref="B112:B1048576">
    <cfRule type="duplicateValues" dxfId="22" priority="37"/>
  </conditionalFormatting>
  <conditionalFormatting sqref="F6">
    <cfRule type="duplicateValues" dxfId="21" priority="26"/>
  </conditionalFormatting>
  <conditionalFormatting sqref="F36">
    <cfRule type="duplicateValues" dxfId="20" priority="22"/>
  </conditionalFormatting>
  <conditionalFormatting sqref="F48">
    <cfRule type="duplicateValues" dxfId="19" priority="21"/>
    <cfRule type="duplicateValues" dxfId="18" priority="20"/>
  </conditionalFormatting>
  <conditionalFormatting sqref="F73">
    <cfRule type="duplicateValues" dxfId="17" priority="7"/>
  </conditionalFormatting>
  <conditionalFormatting sqref="F81">
    <cfRule type="duplicateValues" dxfId="16" priority="8"/>
  </conditionalFormatting>
  <conditionalFormatting sqref="F87">
    <cfRule type="duplicateValues" dxfId="15" priority="6"/>
  </conditionalFormatting>
  <conditionalFormatting sqref="F100">
    <cfRule type="duplicateValues" dxfId="14" priority="5"/>
  </conditionalFormatting>
  <conditionalFormatting sqref="J16">
    <cfRule type="duplicateValues" dxfId="13" priority="14"/>
    <cfRule type="duplicateValues" dxfId="12" priority="15"/>
  </conditionalFormatting>
  <conditionalFormatting sqref="J35">
    <cfRule type="duplicateValues" dxfId="11" priority="18"/>
    <cfRule type="duplicateValues" dxfId="10" priority="19"/>
  </conditionalFormatting>
  <conditionalFormatting sqref="J47">
    <cfRule type="duplicateValues" dxfId="9" priority="17"/>
    <cfRule type="duplicateValues" dxfId="8" priority="16"/>
  </conditionalFormatting>
  <conditionalFormatting sqref="J64">
    <cfRule type="duplicateValues" dxfId="7" priority="12"/>
    <cfRule type="duplicateValues" dxfId="6" priority="13"/>
  </conditionalFormatting>
  <conditionalFormatting sqref="J69">
    <cfRule type="duplicateValues" dxfId="5" priority="11"/>
    <cfRule type="duplicateValues" dxfId="4" priority="10"/>
  </conditionalFormatting>
  <conditionalFormatting sqref="J106">
    <cfRule type="duplicateValues" dxfId="3" priority="2"/>
    <cfRule type="duplicateValues" dxfId="2" priority="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C114"/>
  <sheetViews>
    <sheetView topLeftCell="A49" workbookViewId="0">
      <selection activeCell="C17" sqref="C17"/>
    </sheetView>
  </sheetViews>
  <sheetFormatPr defaultRowHeight="15" x14ac:dyDescent="0.25"/>
  <cols>
    <col min="2" max="2" width="30.85546875" bestFit="1" customWidth="1"/>
    <col min="3" max="3" width="85.140625" customWidth="1"/>
  </cols>
  <sheetData>
    <row r="1" spans="1:3" x14ac:dyDescent="0.25">
      <c r="A1" t="s">
        <v>431</v>
      </c>
      <c r="B1" t="s">
        <v>432</v>
      </c>
      <c r="C1" s="15" t="s">
        <v>433</v>
      </c>
    </row>
    <row r="2" spans="1:3" x14ac:dyDescent="0.25">
      <c r="A2">
        <v>5</v>
      </c>
      <c r="B2" s="16" t="s">
        <v>325</v>
      </c>
      <c r="C2" s="15" t="s">
        <v>326</v>
      </c>
    </row>
    <row r="3" spans="1:3" x14ac:dyDescent="0.25">
      <c r="A3">
        <v>6</v>
      </c>
      <c r="B3" s="16" t="s">
        <v>327</v>
      </c>
      <c r="C3" s="15" t="s">
        <v>328</v>
      </c>
    </row>
    <row r="4" spans="1:3" x14ac:dyDescent="0.25">
      <c r="A4">
        <v>7</v>
      </c>
      <c r="B4" t="s">
        <v>329</v>
      </c>
      <c r="C4" s="15" t="s">
        <v>330</v>
      </c>
    </row>
    <row r="5" spans="1:3" x14ac:dyDescent="0.25">
      <c r="A5">
        <v>9</v>
      </c>
      <c r="B5" t="s">
        <v>331</v>
      </c>
      <c r="C5" s="15" t="s">
        <v>332</v>
      </c>
    </row>
    <row r="6" spans="1:3" x14ac:dyDescent="0.25">
      <c r="A6">
        <v>11</v>
      </c>
      <c r="B6" t="s">
        <v>333</v>
      </c>
      <c r="C6" s="15" t="s">
        <v>334</v>
      </c>
    </row>
    <row r="7" spans="1:3" x14ac:dyDescent="0.25">
      <c r="A7">
        <v>13</v>
      </c>
      <c r="B7" t="s">
        <v>335</v>
      </c>
      <c r="C7" s="15" t="s">
        <v>336</v>
      </c>
    </row>
    <row r="8" spans="1:3" x14ac:dyDescent="0.25">
      <c r="A8">
        <v>14</v>
      </c>
      <c r="B8" t="s">
        <v>337</v>
      </c>
      <c r="C8" s="15" t="s">
        <v>338</v>
      </c>
    </row>
    <row r="9" spans="1:3" x14ac:dyDescent="0.25">
      <c r="A9">
        <v>15</v>
      </c>
      <c r="B9" t="s">
        <v>339</v>
      </c>
      <c r="C9" s="15" t="s">
        <v>340</v>
      </c>
    </row>
    <row r="10" spans="1:3" x14ac:dyDescent="0.25">
      <c r="A10">
        <v>17</v>
      </c>
      <c r="B10" t="s">
        <v>341</v>
      </c>
      <c r="C10" s="15" t="s">
        <v>342</v>
      </c>
    </row>
    <row r="11" spans="1:3" x14ac:dyDescent="0.25">
      <c r="A11">
        <v>19</v>
      </c>
      <c r="B11" t="s">
        <v>597</v>
      </c>
      <c r="C11" t="s">
        <v>612</v>
      </c>
    </row>
    <row r="12" spans="1:3" x14ac:dyDescent="0.25">
      <c r="A12">
        <v>20</v>
      </c>
      <c r="B12" t="s">
        <v>343</v>
      </c>
      <c r="C12" s="15" t="s">
        <v>344</v>
      </c>
    </row>
    <row r="13" spans="1:3" x14ac:dyDescent="0.25">
      <c r="A13">
        <v>21</v>
      </c>
      <c r="B13" t="s">
        <v>345</v>
      </c>
      <c r="C13" s="15" t="s">
        <v>346</v>
      </c>
    </row>
    <row r="14" spans="1:3" x14ac:dyDescent="0.25">
      <c r="A14">
        <v>31</v>
      </c>
      <c r="B14" t="s">
        <v>347</v>
      </c>
      <c r="C14" s="15" t="s">
        <v>348</v>
      </c>
    </row>
    <row r="15" spans="1:3" x14ac:dyDescent="0.25">
      <c r="A15">
        <v>32</v>
      </c>
      <c r="B15" t="s">
        <v>349</v>
      </c>
      <c r="C15" s="15" t="s">
        <v>350</v>
      </c>
    </row>
    <row r="16" spans="1:3" x14ac:dyDescent="0.25">
      <c r="A16">
        <v>36</v>
      </c>
      <c r="B16" t="s">
        <v>351</v>
      </c>
      <c r="C16" s="15" t="s">
        <v>352</v>
      </c>
    </row>
    <row r="17" spans="1:3" x14ac:dyDescent="0.25">
      <c r="A17">
        <v>39</v>
      </c>
      <c r="B17" t="s">
        <v>601</v>
      </c>
      <c r="C17" t="s">
        <v>611</v>
      </c>
    </row>
    <row r="18" spans="1:3" x14ac:dyDescent="0.25">
      <c r="A18">
        <v>43</v>
      </c>
      <c r="B18" t="s">
        <v>353</v>
      </c>
      <c r="C18" s="15" t="s">
        <v>354</v>
      </c>
    </row>
    <row r="19" spans="1:3" x14ac:dyDescent="0.25">
      <c r="A19">
        <v>45</v>
      </c>
      <c r="B19" t="s">
        <v>355</v>
      </c>
      <c r="C19" s="15" t="s">
        <v>356</v>
      </c>
    </row>
    <row r="20" spans="1:3" x14ac:dyDescent="0.25">
      <c r="A20">
        <v>46</v>
      </c>
      <c r="B20" t="s">
        <v>357</v>
      </c>
      <c r="C20" s="15" t="s">
        <v>358</v>
      </c>
    </row>
    <row r="21" spans="1:3" x14ac:dyDescent="0.25">
      <c r="A21">
        <v>47</v>
      </c>
      <c r="B21" t="s">
        <v>359</v>
      </c>
      <c r="C21" s="15" t="s">
        <v>360</v>
      </c>
    </row>
    <row r="22" spans="1:3" x14ac:dyDescent="0.25">
      <c r="A22">
        <v>49</v>
      </c>
      <c r="B22" t="s">
        <v>361</v>
      </c>
      <c r="C22" s="15" t="s">
        <v>362</v>
      </c>
    </row>
    <row r="23" spans="1:3" x14ac:dyDescent="0.25">
      <c r="A23">
        <v>50</v>
      </c>
      <c r="B23" t="s">
        <v>363</v>
      </c>
      <c r="C23" s="15" t="s">
        <v>364</v>
      </c>
    </row>
    <row r="24" spans="1:3" x14ac:dyDescent="0.25">
      <c r="A24">
        <v>51</v>
      </c>
      <c r="B24" t="s">
        <v>365</v>
      </c>
      <c r="C24" s="15" t="s">
        <v>366</v>
      </c>
    </row>
    <row r="25" spans="1:3" x14ac:dyDescent="0.25">
      <c r="A25">
        <v>52</v>
      </c>
      <c r="B25" t="s">
        <v>367</v>
      </c>
      <c r="C25" s="15" t="s">
        <v>368</v>
      </c>
    </row>
    <row r="26" spans="1:3" x14ac:dyDescent="0.25">
      <c r="A26">
        <v>57</v>
      </c>
      <c r="B26" t="s">
        <v>369</v>
      </c>
      <c r="C26" s="15" t="s">
        <v>370</v>
      </c>
    </row>
    <row r="27" spans="1:3" x14ac:dyDescent="0.25">
      <c r="A27">
        <v>62</v>
      </c>
      <c r="B27" t="s">
        <v>371</v>
      </c>
      <c r="C27" s="15" t="s">
        <v>372</v>
      </c>
    </row>
    <row r="28" spans="1:3" x14ac:dyDescent="0.25">
      <c r="A28">
        <v>70</v>
      </c>
      <c r="B28" t="s">
        <v>373</v>
      </c>
      <c r="C28" s="15" t="s">
        <v>374</v>
      </c>
    </row>
    <row r="29" spans="1:3" x14ac:dyDescent="0.25">
      <c r="A29">
        <v>87</v>
      </c>
      <c r="B29" t="s">
        <v>375</v>
      </c>
      <c r="C29" s="15" t="s">
        <v>376</v>
      </c>
    </row>
    <row r="30" spans="1:3" x14ac:dyDescent="0.25">
      <c r="A30">
        <v>92</v>
      </c>
      <c r="B30" t="s">
        <v>617</v>
      </c>
      <c r="C30" s="15" t="s">
        <v>377</v>
      </c>
    </row>
    <row r="31" spans="1:3" ht="75" x14ac:dyDescent="0.25">
      <c r="A31">
        <v>96</v>
      </c>
      <c r="B31" t="s">
        <v>378</v>
      </c>
      <c r="C31" s="15" t="s">
        <v>379</v>
      </c>
    </row>
    <row r="32" spans="1:3" x14ac:dyDescent="0.25">
      <c r="A32">
        <v>101</v>
      </c>
      <c r="B32" t="s">
        <v>380</v>
      </c>
      <c r="C32" s="15" t="s">
        <v>381</v>
      </c>
    </row>
    <row r="33" spans="1:3" ht="75" x14ac:dyDescent="0.25">
      <c r="A33">
        <v>105</v>
      </c>
      <c r="B33" t="s">
        <v>382</v>
      </c>
      <c r="C33" s="15" t="s">
        <v>383</v>
      </c>
    </row>
    <row r="34" spans="1:3" x14ac:dyDescent="0.25">
      <c r="A34">
        <v>108</v>
      </c>
      <c r="B34" t="s">
        <v>384</v>
      </c>
      <c r="C34" s="15" t="s">
        <v>385</v>
      </c>
    </row>
    <row r="35" spans="1:3" x14ac:dyDescent="0.25">
      <c r="A35">
        <v>111</v>
      </c>
      <c r="B35" t="s">
        <v>386</v>
      </c>
      <c r="C35" s="15" t="s">
        <v>387</v>
      </c>
    </row>
    <row r="36" spans="1:3" x14ac:dyDescent="0.25">
      <c r="A36">
        <v>115</v>
      </c>
      <c r="B36" t="s">
        <v>388</v>
      </c>
      <c r="C36" s="15" t="s">
        <v>389</v>
      </c>
    </row>
    <row r="37" spans="1:3" x14ac:dyDescent="0.25">
      <c r="A37">
        <v>131</v>
      </c>
      <c r="B37" t="s">
        <v>391</v>
      </c>
      <c r="C37" s="15" t="s">
        <v>392</v>
      </c>
    </row>
    <row r="38" spans="1:3" s="17" customFormat="1" x14ac:dyDescent="0.25">
      <c r="A38">
        <v>146</v>
      </c>
      <c r="B38" t="s">
        <v>393</v>
      </c>
      <c r="C38" s="15" t="s">
        <v>394</v>
      </c>
    </row>
    <row r="39" spans="1:3" x14ac:dyDescent="0.25">
      <c r="A39">
        <v>160</v>
      </c>
      <c r="B39" t="s">
        <v>395</v>
      </c>
      <c r="C39" s="15" t="s">
        <v>396</v>
      </c>
    </row>
    <row r="40" spans="1:3" ht="30" x14ac:dyDescent="0.25">
      <c r="A40">
        <v>170</v>
      </c>
      <c r="B40" t="s">
        <v>41</v>
      </c>
      <c r="C40" s="15" t="s">
        <v>397</v>
      </c>
    </row>
    <row r="41" spans="1:3" ht="30" x14ac:dyDescent="0.25">
      <c r="A41">
        <v>182</v>
      </c>
      <c r="B41" t="s">
        <v>398</v>
      </c>
      <c r="C41" s="15" t="s">
        <v>399</v>
      </c>
    </row>
    <row r="42" spans="1:3" x14ac:dyDescent="0.25">
      <c r="A42">
        <v>183</v>
      </c>
      <c r="B42" t="s">
        <v>400</v>
      </c>
      <c r="C42" s="15" t="s">
        <v>401</v>
      </c>
    </row>
    <row r="43" spans="1:3" x14ac:dyDescent="0.25">
      <c r="A43">
        <v>192</v>
      </c>
      <c r="B43" t="s">
        <v>615</v>
      </c>
      <c r="C43" s="15" t="s">
        <v>402</v>
      </c>
    </row>
    <row r="44" spans="1:3" ht="30" x14ac:dyDescent="0.25">
      <c r="A44">
        <v>199</v>
      </c>
      <c r="B44" t="s">
        <v>278</v>
      </c>
      <c r="C44" s="15" t="s">
        <v>403</v>
      </c>
    </row>
    <row r="45" spans="1:3" ht="30" x14ac:dyDescent="0.25">
      <c r="A45">
        <v>201</v>
      </c>
      <c r="B45" t="s">
        <v>21</v>
      </c>
      <c r="C45" s="15" t="s">
        <v>404</v>
      </c>
    </row>
    <row r="46" spans="1:3" x14ac:dyDescent="0.25">
      <c r="A46">
        <v>202</v>
      </c>
      <c r="B46" t="s">
        <v>405</v>
      </c>
      <c r="C46" s="15" t="s">
        <v>406</v>
      </c>
    </row>
    <row r="47" spans="1:3" x14ac:dyDescent="0.25">
      <c r="A47">
        <v>203</v>
      </c>
      <c r="B47" t="s">
        <v>532</v>
      </c>
      <c r="C47" t="s">
        <v>596</v>
      </c>
    </row>
    <row r="48" spans="1:3" x14ac:dyDescent="0.25">
      <c r="A48">
        <v>209</v>
      </c>
      <c r="B48" t="s">
        <v>264</v>
      </c>
      <c r="C48" s="15" t="s">
        <v>407</v>
      </c>
    </row>
    <row r="49" spans="1:3" x14ac:dyDescent="0.25">
      <c r="A49">
        <v>214</v>
      </c>
      <c r="B49" t="s">
        <v>408</v>
      </c>
      <c r="C49" s="15" t="s">
        <v>616</v>
      </c>
    </row>
    <row r="50" spans="1:3" x14ac:dyDescent="0.25">
      <c r="A50">
        <v>232</v>
      </c>
      <c r="B50" t="s">
        <v>409</v>
      </c>
      <c r="C50" s="15" t="s">
        <v>410</v>
      </c>
    </row>
    <row r="51" spans="1:3" x14ac:dyDescent="0.25">
      <c r="A51">
        <v>233</v>
      </c>
      <c r="B51" t="s">
        <v>411</v>
      </c>
      <c r="C51" s="15" t="s">
        <v>412</v>
      </c>
    </row>
    <row r="52" spans="1:3" x14ac:dyDescent="0.25">
      <c r="A52">
        <v>234</v>
      </c>
      <c r="B52" t="s">
        <v>413</v>
      </c>
      <c r="C52" s="15" t="s">
        <v>414</v>
      </c>
    </row>
    <row r="53" spans="1:3" x14ac:dyDescent="0.25">
      <c r="A53">
        <v>235</v>
      </c>
      <c r="B53" t="s">
        <v>415</v>
      </c>
      <c r="C53" s="15" t="s">
        <v>416</v>
      </c>
    </row>
    <row r="54" spans="1:3" x14ac:dyDescent="0.25">
      <c r="A54">
        <v>236</v>
      </c>
      <c r="B54" t="s">
        <v>417</v>
      </c>
      <c r="C54" s="15" t="s">
        <v>418</v>
      </c>
    </row>
    <row r="55" spans="1:3" x14ac:dyDescent="0.25">
      <c r="A55">
        <v>237</v>
      </c>
      <c r="B55" t="s">
        <v>419</v>
      </c>
      <c r="C55" s="15" t="s">
        <v>420</v>
      </c>
    </row>
    <row r="56" spans="1:3" x14ac:dyDescent="0.25">
      <c r="A56">
        <v>238</v>
      </c>
      <c r="B56" t="s">
        <v>421</v>
      </c>
      <c r="C56" s="15" t="s">
        <v>422</v>
      </c>
    </row>
    <row r="57" spans="1:3" x14ac:dyDescent="0.25">
      <c r="A57">
        <v>240</v>
      </c>
      <c r="B57" t="s">
        <v>423</v>
      </c>
      <c r="C57" s="15" t="s">
        <v>424</v>
      </c>
    </row>
    <row r="58" spans="1:3" x14ac:dyDescent="0.25">
      <c r="A58">
        <v>241</v>
      </c>
      <c r="B58" t="s">
        <v>425</v>
      </c>
      <c r="C58" s="15" t="s">
        <v>426</v>
      </c>
    </row>
    <row r="59" spans="1:3" x14ac:dyDescent="0.25">
      <c r="A59">
        <v>243</v>
      </c>
      <c r="B59" t="s">
        <v>427</v>
      </c>
      <c r="C59" s="15" t="s">
        <v>428</v>
      </c>
    </row>
    <row r="60" spans="1:3" x14ac:dyDescent="0.25">
      <c r="A60">
        <v>244</v>
      </c>
      <c r="B60" t="s">
        <v>429</v>
      </c>
      <c r="C60" s="15" t="s">
        <v>430</v>
      </c>
    </row>
    <row r="61" spans="1:3" x14ac:dyDescent="0.25">
      <c r="A61">
        <v>501</v>
      </c>
      <c r="B61" t="s">
        <v>435</v>
      </c>
      <c r="C61" s="15" t="s">
        <v>434</v>
      </c>
    </row>
    <row r="62" spans="1:3" x14ac:dyDescent="0.25">
      <c r="A62">
        <v>502</v>
      </c>
      <c r="B62" t="s">
        <v>437</v>
      </c>
      <c r="C62" s="15" t="s">
        <v>436</v>
      </c>
    </row>
    <row r="63" spans="1:3" x14ac:dyDescent="0.25">
      <c r="A63">
        <v>503</v>
      </c>
      <c r="B63" t="s">
        <v>277</v>
      </c>
      <c r="C63" s="15" t="s">
        <v>484</v>
      </c>
    </row>
    <row r="64" spans="1:3" x14ac:dyDescent="0.25">
      <c r="A64">
        <v>504</v>
      </c>
      <c r="B64" t="s">
        <v>485</v>
      </c>
      <c r="C64" s="15" t="s">
        <v>486</v>
      </c>
    </row>
    <row r="65" spans="1:3" x14ac:dyDescent="0.25">
      <c r="A65">
        <v>505</v>
      </c>
      <c r="B65" t="s">
        <v>438</v>
      </c>
      <c r="C65" s="15" t="s">
        <v>487</v>
      </c>
    </row>
    <row r="66" spans="1:3" ht="30" x14ac:dyDescent="0.25">
      <c r="A66">
        <v>506</v>
      </c>
      <c r="B66" t="s">
        <v>69</v>
      </c>
      <c r="C66" s="15" t="s">
        <v>439</v>
      </c>
    </row>
    <row r="67" spans="1:3" x14ac:dyDescent="0.25">
      <c r="A67">
        <v>507</v>
      </c>
      <c r="B67" t="s">
        <v>278</v>
      </c>
      <c r="C67" s="15" t="s">
        <v>440</v>
      </c>
    </row>
    <row r="68" spans="1:3" x14ac:dyDescent="0.25">
      <c r="A68">
        <v>508</v>
      </c>
      <c r="B68" t="s">
        <v>73</v>
      </c>
      <c r="C68" s="15" t="s">
        <v>441</v>
      </c>
    </row>
    <row r="69" spans="1:3" x14ac:dyDescent="0.25">
      <c r="A69">
        <v>509</v>
      </c>
      <c r="B69" t="s">
        <v>140</v>
      </c>
      <c r="C69" s="15" t="s">
        <v>488</v>
      </c>
    </row>
    <row r="70" spans="1:3" x14ac:dyDescent="0.25">
      <c r="A70">
        <v>510</v>
      </c>
      <c r="B70" t="s">
        <v>603</v>
      </c>
      <c r="C70" t="s">
        <v>602</v>
      </c>
    </row>
    <row r="71" spans="1:3" x14ac:dyDescent="0.25">
      <c r="A71" t="s">
        <v>499</v>
      </c>
      <c r="B71" t="s">
        <v>500</v>
      </c>
      <c r="C71" s="15" t="s">
        <v>392</v>
      </c>
    </row>
    <row r="72" spans="1:3" x14ac:dyDescent="0.25">
      <c r="A72" t="s">
        <v>501</v>
      </c>
      <c r="B72" t="s">
        <v>502</v>
      </c>
      <c r="C72" s="15" t="s">
        <v>392</v>
      </c>
    </row>
    <row r="73" spans="1:3" x14ac:dyDescent="0.25">
      <c r="A73" t="s">
        <v>503</v>
      </c>
      <c r="B73" t="s">
        <v>504</v>
      </c>
      <c r="C73" s="15" t="s">
        <v>392</v>
      </c>
    </row>
    <row r="74" spans="1:3" x14ac:dyDescent="0.25">
      <c r="A74" t="s">
        <v>505</v>
      </c>
      <c r="B74" t="s">
        <v>506</v>
      </c>
      <c r="C74" s="15" t="s">
        <v>392</v>
      </c>
    </row>
    <row r="75" spans="1:3" x14ac:dyDescent="0.25">
      <c r="A75" t="s">
        <v>507</v>
      </c>
      <c r="B75" t="s">
        <v>225</v>
      </c>
      <c r="C75" s="15" t="s">
        <v>392</v>
      </c>
    </row>
    <row r="76" spans="1:3" x14ac:dyDescent="0.25">
      <c r="A76" t="s">
        <v>508</v>
      </c>
      <c r="B76" t="s">
        <v>509</v>
      </c>
      <c r="C76" s="15" t="s">
        <v>392</v>
      </c>
    </row>
    <row r="77" spans="1:3" x14ac:dyDescent="0.25">
      <c r="A77" t="s">
        <v>510</v>
      </c>
      <c r="B77" t="s">
        <v>511</v>
      </c>
      <c r="C77" s="15" t="s">
        <v>392</v>
      </c>
    </row>
    <row r="78" spans="1:3" x14ac:dyDescent="0.25">
      <c r="A78" t="s">
        <v>512</v>
      </c>
      <c r="B78" t="s">
        <v>122</v>
      </c>
      <c r="C78" s="15" t="s">
        <v>392</v>
      </c>
    </row>
    <row r="79" spans="1:3" x14ac:dyDescent="0.25">
      <c r="A79" t="s">
        <v>513</v>
      </c>
      <c r="B79" t="s">
        <v>498</v>
      </c>
      <c r="C79" s="15" t="s">
        <v>392</v>
      </c>
    </row>
    <row r="80" spans="1:3" x14ac:dyDescent="0.25">
      <c r="A80" t="s">
        <v>514</v>
      </c>
      <c r="B80" t="s">
        <v>278</v>
      </c>
      <c r="C80" s="15" t="s">
        <v>392</v>
      </c>
    </row>
    <row r="81" spans="1:3" x14ac:dyDescent="0.25">
      <c r="A81" t="s">
        <v>476</v>
      </c>
      <c r="B81" t="s">
        <v>515</v>
      </c>
      <c r="C81" s="15" t="s">
        <v>392</v>
      </c>
    </row>
    <row r="82" spans="1:3" x14ac:dyDescent="0.25">
      <c r="A82" t="s">
        <v>516</v>
      </c>
      <c r="B82" t="s">
        <v>517</v>
      </c>
      <c r="C82" s="15" t="s">
        <v>392</v>
      </c>
    </row>
    <row r="83" spans="1:3" x14ac:dyDescent="0.25">
      <c r="A83" t="s">
        <v>518</v>
      </c>
      <c r="B83" t="s">
        <v>519</v>
      </c>
      <c r="C83" s="15" t="s">
        <v>392</v>
      </c>
    </row>
    <row r="84" spans="1:3" x14ac:dyDescent="0.25">
      <c r="A84" t="s">
        <v>520</v>
      </c>
      <c r="B84" t="s">
        <v>521</v>
      </c>
      <c r="C84" s="15" t="s">
        <v>392</v>
      </c>
    </row>
    <row r="85" spans="1:3" x14ac:dyDescent="0.25">
      <c r="A85" t="s">
        <v>522</v>
      </c>
      <c r="B85" t="s">
        <v>267</v>
      </c>
      <c r="C85" s="15" t="s">
        <v>392</v>
      </c>
    </row>
    <row r="86" spans="1:3" x14ac:dyDescent="0.25">
      <c r="A86" t="s">
        <v>523</v>
      </c>
      <c r="B86" t="s">
        <v>524</v>
      </c>
      <c r="C86" s="15" t="s">
        <v>392</v>
      </c>
    </row>
    <row r="87" spans="1:3" x14ac:dyDescent="0.25">
      <c r="A87" t="s">
        <v>525</v>
      </c>
      <c r="B87" t="s">
        <v>526</v>
      </c>
      <c r="C87" s="15" t="s">
        <v>392</v>
      </c>
    </row>
    <row r="88" spans="1:3" x14ac:dyDescent="0.25">
      <c r="A88" t="s">
        <v>527</v>
      </c>
      <c r="B88" t="s">
        <v>528</v>
      </c>
      <c r="C88" s="15" t="s">
        <v>392</v>
      </c>
    </row>
    <row r="89" spans="1:3" x14ac:dyDescent="0.25">
      <c r="A89" t="s">
        <v>529</v>
      </c>
      <c r="B89" t="s">
        <v>530</v>
      </c>
      <c r="C89" s="15" t="s">
        <v>392</v>
      </c>
    </row>
    <row r="90" spans="1:3" x14ac:dyDescent="0.25">
      <c r="A90" t="s">
        <v>531</v>
      </c>
      <c r="B90" t="s">
        <v>532</v>
      </c>
      <c r="C90" s="15" t="s">
        <v>392</v>
      </c>
    </row>
    <row r="91" spans="1:3" x14ac:dyDescent="0.25">
      <c r="A91" t="s">
        <v>534</v>
      </c>
      <c r="B91" t="s">
        <v>530</v>
      </c>
      <c r="C91" s="15" t="s">
        <v>394</v>
      </c>
    </row>
    <row r="92" spans="1:3" x14ac:dyDescent="0.25">
      <c r="A92" t="s">
        <v>535</v>
      </c>
      <c r="B92" t="s">
        <v>390</v>
      </c>
      <c r="C92" s="15" t="s">
        <v>394</v>
      </c>
    </row>
    <row r="93" spans="1:3" x14ac:dyDescent="0.25">
      <c r="A93" t="s">
        <v>533</v>
      </c>
      <c r="B93" t="s">
        <v>515</v>
      </c>
      <c r="C93" s="15" t="s">
        <v>401</v>
      </c>
    </row>
    <row r="94" spans="1:3" x14ac:dyDescent="0.25">
      <c r="A94" t="s">
        <v>449</v>
      </c>
      <c r="B94" t="s">
        <v>151</v>
      </c>
      <c r="C94" s="15" t="s">
        <v>406</v>
      </c>
    </row>
    <row r="95" spans="1:3" x14ac:dyDescent="0.25">
      <c r="A95" t="s">
        <v>577</v>
      </c>
      <c r="B95" t="s">
        <v>390</v>
      </c>
      <c r="C95" s="15" t="s">
        <v>344</v>
      </c>
    </row>
    <row r="96" spans="1:3" x14ac:dyDescent="0.25">
      <c r="A96" t="s">
        <v>590</v>
      </c>
      <c r="B96" t="s">
        <v>267</v>
      </c>
      <c r="C96" s="15" t="s">
        <v>410</v>
      </c>
    </row>
    <row r="97" spans="1:3" x14ac:dyDescent="0.25">
      <c r="A97" t="s">
        <v>551</v>
      </c>
      <c r="B97" t="s">
        <v>390</v>
      </c>
      <c r="C97" s="15" t="s">
        <v>350</v>
      </c>
    </row>
    <row r="98" spans="1:3" x14ac:dyDescent="0.25">
      <c r="A98" t="s">
        <v>489</v>
      </c>
      <c r="B98" t="s">
        <v>490</v>
      </c>
      <c r="C98" s="15" t="s">
        <v>434</v>
      </c>
    </row>
    <row r="99" spans="1:3" x14ac:dyDescent="0.25">
      <c r="A99" t="s">
        <v>444</v>
      </c>
      <c r="B99" t="s">
        <v>83</v>
      </c>
      <c r="C99" s="15" t="s">
        <v>434</v>
      </c>
    </row>
    <row r="100" spans="1:3" x14ac:dyDescent="0.25">
      <c r="A100" t="s">
        <v>445</v>
      </c>
      <c r="B100" t="s">
        <v>93</v>
      </c>
      <c r="C100" s="15" t="s">
        <v>434</v>
      </c>
    </row>
    <row r="101" spans="1:3" x14ac:dyDescent="0.25">
      <c r="A101" t="s">
        <v>491</v>
      </c>
      <c r="B101" t="s">
        <v>492</v>
      </c>
      <c r="C101" s="15" t="s">
        <v>434</v>
      </c>
    </row>
    <row r="102" spans="1:3" x14ac:dyDescent="0.25">
      <c r="A102" t="s">
        <v>493</v>
      </c>
      <c r="B102" t="s">
        <v>494</v>
      </c>
      <c r="C102" s="15" t="s">
        <v>434</v>
      </c>
    </row>
    <row r="103" spans="1:3" x14ac:dyDescent="0.25">
      <c r="A103" t="s">
        <v>495</v>
      </c>
      <c r="B103" t="s">
        <v>496</v>
      </c>
      <c r="C103" s="15" t="s">
        <v>434</v>
      </c>
    </row>
    <row r="104" spans="1:3" x14ac:dyDescent="0.25">
      <c r="A104" t="s">
        <v>447</v>
      </c>
      <c r="B104" t="s">
        <v>21</v>
      </c>
      <c r="C104" s="15" t="s">
        <v>434</v>
      </c>
    </row>
    <row r="105" spans="1:3" x14ac:dyDescent="0.25">
      <c r="A105" t="s">
        <v>450</v>
      </c>
      <c r="B105" t="s">
        <v>225</v>
      </c>
      <c r="C105" s="15" t="s">
        <v>434</v>
      </c>
    </row>
    <row r="106" spans="1:3" x14ac:dyDescent="0.25">
      <c r="A106" t="s">
        <v>451</v>
      </c>
      <c r="B106" t="s">
        <v>122</v>
      </c>
      <c r="C106" s="15" t="s">
        <v>434</v>
      </c>
    </row>
    <row r="107" spans="1:3" x14ac:dyDescent="0.25">
      <c r="A107" t="s">
        <v>497</v>
      </c>
      <c r="B107" t="s">
        <v>498</v>
      </c>
      <c r="C107" s="15" t="s">
        <v>434</v>
      </c>
    </row>
    <row r="108" spans="1:3" x14ac:dyDescent="0.25">
      <c r="A108" t="s">
        <v>452</v>
      </c>
      <c r="B108" t="s">
        <v>264</v>
      </c>
      <c r="C108" s="15" t="s">
        <v>434</v>
      </c>
    </row>
    <row r="109" spans="1:3" x14ac:dyDescent="0.25">
      <c r="A109" t="s">
        <v>454</v>
      </c>
      <c r="B109" t="s">
        <v>279</v>
      </c>
      <c r="C109" s="15" t="s">
        <v>434</v>
      </c>
    </row>
    <row r="110" spans="1:3" x14ac:dyDescent="0.25">
      <c r="A110" t="s">
        <v>455</v>
      </c>
      <c r="B110" t="s">
        <v>278</v>
      </c>
      <c r="C110" s="15" t="s">
        <v>434</v>
      </c>
    </row>
    <row r="111" spans="1:3" x14ac:dyDescent="0.25">
      <c r="A111" t="s">
        <v>456</v>
      </c>
      <c r="B111" t="s">
        <v>267</v>
      </c>
      <c r="C111" s="15" t="s">
        <v>434</v>
      </c>
    </row>
    <row r="112" spans="1:3" x14ac:dyDescent="0.25">
      <c r="A112" t="s">
        <v>477</v>
      </c>
      <c r="B112" t="s">
        <v>41</v>
      </c>
      <c r="C112" s="15" t="s">
        <v>434</v>
      </c>
    </row>
    <row r="113" spans="1:3" x14ac:dyDescent="0.25">
      <c r="A113" t="s">
        <v>554</v>
      </c>
      <c r="B113" t="s">
        <v>390</v>
      </c>
      <c r="C113" s="15" t="s">
        <v>326</v>
      </c>
    </row>
    <row r="114" spans="1:3" x14ac:dyDescent="0.25">
      <c r="A114" t="s">
        <v>549</v>
      </c>
      <c r="B114" t="s">
        <v>390</v>
      </c>
      <c r="C114" s="15" t="s">
        <v>328</v>
      </c>
    </row>
  </sheetData>
  <autoFilter ref="A1:C114" xr:uid="{854C4F88-AAAD-435E-8324-B99D91D004B9}">
    <sortState xmlns:xlrd2="http://schemas.microsoft.com/office/spreadsheetml/2017/richdata2" ref="A2:C114">
      <sortCondition ref="A1:A11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G12" sqref="G12"/>
    </sheetView>
  </sheetViews>
  <sheetFormatPr defaultRowHeight="15" x14ac:dyDescent="0.25"/>
  <cols>
    <col min="1" max="1" width="27.42578125" customWidth="1"/>
  </cols>
  <sheetData>
    <row r="1" spans="1:2" x14ac:dyDescent="0.25">
      <c r="A1" s="7" t="s">
        <v>12</v>
      </c>
      <c r="B1">
        <v>201</v>
      </c>
    </row>
    <row r="2" spans="1:2" x14ac:dyDescent="0.25">
      <c r="A2" s="7" t="s">
        <v>23</v>
      </c>
      <c r="B2">
        <v>202</v>
      </c>
    </row>
    <row r="3" spans="1:2" x14ac:dyDescent="0.25">
      <c r="A3" t="s">
        <v>546</v>
      </c>
      <c r="B3">
        <v>203</v>
      </c>
    </row>
    <row r="4" spans="1:2" x14ac:dyDescent="0.25">
      <c r="A4" s="7" t="s">
        <v>17</v>
      </c>
      <c r="B4">
        <v>204</v>
      </c>
    </row>
    <row r="5" spans="1:2" x14ac:dyDescent="0.25">
      <c r="A5" s="7" t="s">
        <v>38</v>
      </c>
      <c r="B5">
        <v>205</v>
      </c>
    </row>
    <row r="6" spans="1:2" x14ac:dyDescent="0.25">
      <c r="A6" s="7" t="s">
        <v>54</v>
      </c>
      <c r="B6">
        <v>206</v>
      </c>
    </row>
    <row r="7" spans="1:2" x14ac:dyDescent="0.25">
      <c r="A7" s="7" t="s">
        <v>60</v>
      </c>
      <c r="B7">
        <v>207</v>
      </c>
    </row>
    <row r="8" spans="1:2" x14ac:dyDescent="0.25">
      <c r="A8" s="7" t="s">
        <v>78</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1"/>
  <sheetViews>
    <sheetView workbookViewId="0">
      <selection activeCell="A28" sqref="A28"/>
    </sheetView>
  </sheetViews>
  <sheetFormatPr defaultRowHeight="15" x14ac:dyDescent="0.25"/>
  <cols>
    <col min="1" max="1" width="30.140625" bestFit="1" customWidth="1"/>
  </cols>
  <sheetData>
    <row r="1" spans="1:2" x14ac:dyDescent="0.25">
      <c r="A1" s="7" t="s">
        <v>13</v>
      </c>
      <c r="B1">
        <v>301</v>
      </c>
    </row>
    <row r="2" spans="1:2" x14ac:dyDescent="0.25">
      <c r="A2" s="7" t="s">
        <v>19</v>
      </c>
      <c r="B2">
        <v>302</v>
      </c>
    </row>
    <row r="3" spans="1:2" x14ac:dyDescent="0.25">
      <c r="A3" s="7" t="s">
        <v>24</v>
      </c>
      <c r="B3">
        <v>303</v>
      </c>
    </row>
    <row r="4" spans="1:2" x14ac:dyDescent="0.25">
      <c r="A4" s="7" t="s">
        <v>172</v>
      </c>
      <c r="B4">
        <v>304</v>
      </c>
    </row>
    <row r="5" spans="1:2" x14ac:dyDescent="0.25">
      <c r="A5" s="7" t="s">
        <v>27</v>
      </c>
      <c r="B5">
        <v>305</v>
      </c>
    </row>
    <row r="6" spans="1:2" x14ac:dyDescent="0.25">
      <c r="A6" s="7" t="s">
        <v>30</v>
      </c>
      <c r="B6">
        <v>306</v>
      </c>
    </row>
    <row r="7" spans="1:2" x14ac:dyDescent="0.25">
      <c r="A7" s="7" t="s">
        <v>33</v>
      </c>
      <c r="B7">
        <v>307</v>
      </c>
    </row>
    <row r="8" spans="1:2" x14ac:dyDescent="0.25">
      <c r="A8" s="7" t="s">
        <v>39</v>
      </c>
      <c r="B8">
        <v>308</v>
      </c>
    </row>
    <row r="9" spans="1:2" x14ac:dyDescent="0.25">
      <c r="A9" s="7" t="s">
        <v>43</v>
      </c>
      <c r="B9">
        <v>309</v>
      </c>
    </row>
    <row r="10" spans="1:2" x14ac:dyDescent="0.25">
      <c r="A10" s="7" t="s">
        <v>50</v>
      </c>
      <c r="B10">
        <v>310</v>
      </c>
    </row>
    <row r="11" spans="1:2" x14ac:dyDescent="0.25">
      <c r="A11" s="7" t="s">
        <v>17</v>
      </c>
      <c r="B11">
        <v>311</v>
      </c>
    </row>
    <row r="12" spans="1:2" x14ac:dyDescent="0.25">
      <c r="A12" s="7" t="s">
        <v>61</v>
      </c>
      <c r="B12">
        <v>312</v>
      </c>
    </row>
    <row r="13" spans="1:2" x14ac:dyDescent="0.25">
      <c r="A13" s="8" t="s">
        <v>64</v>
      </c>
      <c r="B13">
        <v>313</v>
      </c>
    </row>
    <row r="14" spans="1:2" x14ac:dyDescent="0.25">
      <c r="A14" s="7" t="s">
        <v>65</v>
      </c>
      <c r="B14">
        <v>314</v>
      </c>
    </row>
    <row r="15" spans="1:2" x14ac:dyDescent="0.25">
      <c r="A15" s="7" t="s">
        <v>71</v>
      </c>
      <c r="B15">
        <v>316</v>
      </c>
    </row>
    <row r="16" spans="1:2" x14ac:dyDescent="0.25">
      <c r="A16" s="7" t="s">
        <v>38</v>
      </c>
      <c r="B16">
        <v>317</v>
      </c>
    </row>
    <row r="17" spans="1:2" x14ac:dyDescent="0.25">
      <c r="A17" s="7" t="s">
        <v>87</v>
      </c>
      <c r="B17">
        <v>318</v>
      </c>
    </row>
    <row r="18" spans="1:2" x14ac:dyDescent="0.25">
      <c r="A18" s="7" t="s">
        <v>91</v>
      </c>
      <c r="B18">
        <v>319</v>
      </c>
    </row>
    <row r="19" spans="1:2" x14ac:dyDescent="0.25">
      <c r="A19" s="7" t="s">
        <v>97</v>
      </c>
      <c r="B19">
        <v>320</v>
      </c>
    </row>
    <row r="20" spans="1:2" x14ac:dyDescent="0.25">
      <c r="A20" s="7" t="s">
        <v>102</v>
      </c>
      <c r="B20">
        <v>321</v>
      </c>
    </row>
    <row r="21" spans="1:2" x14ac:dyDescent="0.25">
      <c r="A21" s="7" t="s">
        <v>105</v>
      </c>
      <c r="B21">
        <v>322</v>
      </c>
    </row>
    <row r="22" spans="1:2" x14ac:dyDescent="0.25">
      <c r="A22" s="7" t="s">
        <v>120</v>
      </c>
      <c r="B22">
        <v>323</v>
      </c>
    </row>
    <row r="23" spans="1:2" x14ac:dyDescent="0.25">
      <c r="A23" s="7" t="s">
        <v>124</v>
      </c>
      <c r="B23">
        <v>324</v>
      </c>
    </row>
    <row r="24" spans="1:2" x14ac:dyDescent="0.25">
      <c r="A24" s="7" t="s">
        <v>127</v>
      </c>
      <c r="B24">
        <v>325</v>
      </c>
    </row>
    <row r="25" spans="1:2" x14ac:dyDescent="0.25">
      <c r="A25" s="7" t="s">
        <v>130</v>
      </c>
      <c r="B25">
        <v>326</v>
      </c>
    </row>
    <row r="26" spans="1:2" x14ac:dyDescent="0.25">
      <c r="A26" s="7" t="s">
        <v>18</v>
      </c>
      <c r="B26">
        <v>327</v>
      </c>
    </row>
    <row r="27" spans="1:2" x14ac:dyDescent="0.25">
      <c r="A27" s="7" t="s">
        <v>146</v>
      </c>
      <c r="B27">
        <v>328</v>
      </c>
    </row>
    <row r="28" spans="1:2" x14ac:dyDescent="0.25">
      <c r="A28" s="7" t="s">
        <v>169</v>
      </c>
      <c r="B28">
        <v>329</v>
      </c>
    </row>
    <row r="29" spans="1:2" x14ac:dyDescent="0.25">
      <c r="A29" s="7" t="s">
        <v>240</v>
      </c>
      <c r="B29">
        <v>330</v>
      </c>
    </row>
    <row r="30" spans="1:2" x14ac:dyDescent="0.25">
      <c r="A30" s="7" t="s">
        <v>247</v>
      </c>
      <c r="B30">
        <v>331</v>
      </c>
    </row>
    <row r="31" spans="1:2" x14ac:dyDescent="0.25">
      <c r="A31" s="7" t="s">
        <v>251</v>
      </c>
      <c r="B31">
        <v>332</v>
      </c>
    </row>
  </sheetData>
  <conditionalFormatting sqref="A19">
    <cfRule type="duplicateValues" dxfId="1" priority="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metrics</vt:lpstr>
      <vt:lpstr>urls</vt:lpstr>
      <vt:lpstr>cardsort_group_IDs</vt:lpstr>
      <vt:lpstr>cardsort_subgroup_IDs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2026-02-26T09:32:09Z</dcterms:modified>
</cp:coreProperties>
</file>